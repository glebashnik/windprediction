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2920" windowHeight="8895" activeTab="4"/>
  </bookViews>
  <sheets>
    <sheet name="Table datapoints" sheetId="4" r:id="rId1"/>
    <sheet name="WindFarm Data" sheetId="5" r:id="rId2"/>
    <sheet name="PriceAndProductionData" sheetId="14" r:id="rId3"/>
    <sheet name="Measured data" sheetId="15" r:id="rId4"/>
    <sheet name="coordinates arome" sheetId="16" r:id="rId5"/>
  </sheets>
  <definedNames>
    <definedName name="Addo_DocID" comment="AddoOAS">"2f000fa0-b93e-4b7a-aa51-71a8f0d42c07"</definedName>
    <definedName name="Addo_Today">43087</definedName>
    <definedName name="LNS">'Table datapoints'!$B$33</definedName>
    <definedName name="LWE">'Table datapoints'!$B$32</definedName>
    <definedName name="ND">'Table datapoints'!$B$31</definedName>
  </definedNames>
  <calcPr calcId="145621"/>
</workbook>
</file>

<file path=xl/calcChain.xml><?xml version="1.0" encoding="utf-8"?>
<calcChain xmlns="http://schemas.openxmlformats.org/spreadsheetml/2006/main">
  <c r="H37" i="5" l="1"/>
  <c r="G37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98" i="5"/>
  <c r="H63" i="5"/>
  <c r="G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63" i="5"/>
  <c r="E63" i="5"/>
  <c r="D63" i="5"/>
  <c r="F54" i="5"/>
  <c r="F55" i="5"/>
  <c r="F56" i="5"/>
  <c r="F57" i="5"/>
  <c r="F53" i="5"/>
  <c r="H53" i="5"/>
  <c r="G53" i="5"/>
  <c r="E53" i="5"/>
  <c r="D53" i="5"/>
  <c r="F47" i="5"/>
  <c r="F46" i="5"/>
  <c r="F45" i="5"/>
  <c r="F44" i="5"/>
  <c r="F43" i="5"/>
  <c r="H42" i="5"/>
  <c r="G42" i="5"/>
  <c r="D42" i="5"/>
  <c r="E42" i="5"/>
  <c r="F42" i="5"/>
  <c r="D4" i="5"/>
  <c r="F4" i="5"/>
  <c r="B34" i="4"/>
  <c r="B38" i="4"/>
  <c r="B39" i="4"/>
  <c r="D15" i="4"/>
  <c r="D16" i="4"/>
  <c r="D17" i="4"/>
  <c r="D18" i="4"/>
  <c r="L31" i="4"/>
  <c r="D5" i="4"/>
  <c r="L35" i="4"/>
  <c r="G36" i="5"/>
  <c r="E5" i="4"/>
  <c r="H36" i="5"/>
  <c r="H4" i="5"/>
  <c r="H35" i="5"/>
  <c r="G4" i="5"/>
  <c r="G35" i="5"/>
  <c r="E16" i="4"/>
  <c r="E18" i="4"/>
  <c r="L32" i="4"/>
  <c r="L36" i="4"/>
  <c r="E17" i="4"/>
  <c r="E15" i="4"/>
  <c r="F34" i="5"/>
  <c r="L34" i="4"/>
  <c r="L38" i="4"/>
  <c r="L33" i="4"/>
  <c r="L37" i="4"/>
  <c r="F8" i="5"/>
  <c r="F7" i="5"/>
  <c r="F6" i="5"/>
  <c r="F5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</calcChain>
</file>

<file path=xl/sharedStrings.xml><?xml version="1.0" encoding="utf-8"?>
<sst xmlns="http://schemas.openxmlformats.org/spreadsheetml/2006/main" count="1513" uniqueCount="709">
  <si>
    <t>Namsskogan</t>
  </si>
  <si>
    <t>Bessaker</t>
  </si>
  <si>
    <t>Name</t>
  </si>
  <si>
    <t>Type</t>
  </si>
  <si>
    <t xml:space="preserve">Temperature </t>
  </si>
  <si>
    <t>Pressure</t>
  </si>
  <si>
    <t>Precipitation</t>
  </si>
  <si>
    <t>[mm/hour]</t>
  </si>
  <si>
    <t>[m/s]</t>
  </si>
  <si>
    <t>Windpark</t>
  </si>
  <si>
    <t>[double]</t>
  </si>
  <si>
    <t>[m.a.s.l]</t>
  </si>
  <si>
    <t>[-]</t>
  </si>
  <si>
    <t>[NO]</t>
  </si>
  <si>
    <t>[EN]</t>
  </si>
  <si>
    <t>Sula</t>
  </si>
  <si>
    <t>Værnes</t>
  </si>
  <si>
    <t>Met-station</t>
  </si>
  <si>
    <t>YES</t>
  </si>
  <si>
    <t>Nordvestlig hjørne grid</t>
  </si>
  <si>
    <t>Corner of mesh</t>
  </si>
  <si>
    <t>-</t>
  </si>
  <si>
    <t>NO</t>
  </si>
  <si>
    <t>Skomaker målmast</t>
  </si>
  <si>
    <t>TEK/ICC-DB</t>
  </si>
  <si>
    <t>Norwegain MET/Textfiles</t>
  </si>
  <si>
    <t>Measuring station</t>
  </si>
  <si>
    <t>[hPa]</t>
  </si>
  <si>
    <t>Wind gust</t>
  </si>
  <si>
    <t>[degree]</t>
  </si>
  <si>
    <t>Elevation in
Arome-model</t>
  </si>
  <si>
    <t>Degree's north
WGS84</t>
  </si>
  <si>
    <t>Degree's East
WGS84</t>
  </si>
  <si>
    <t xml:space="preserve">Owner/Source </t>
  </si>
  <si>
    <t>[m]</t>
  </si>
  <si>
    <t>Enercon</t>
  </si>
  <si>
    <t>Manufacturer</t>
  </si>
  <si>
    <r>
      <t>[C</t>
    </r>
    <r>
      <rPr>
        <sz val="11"/>
        <color rgb="FF3F3F3F"/>
        <rFont val="sym"/>
      </rPr>
      <t>elsius</t>
    </r>
    <r>
      <rPr>
        <b/>
        <sz val="11"/>
        <color rgb="FF3F3F3F"/>
        <rFont val="Calibri"/>
        <family val="2"/>
        <scheme val="minor"/>
      </rPr>
      <t>]</t>
    </r>
  </si>
  <si>
    <t>Base 
hight</t>
  </si>
  <si>
    <t>POSISTION DATA BESSAKER WINDFARM</t>
  </si>
  <si>
    <t>Hub
hight</t>
  </si>
  <si>
    <t>Mill</t>
  </si>
  <si>
    <t>Comment</t>
  </si>
  <si>
    <t>Value</t>
  </si>
  <si>
    <t>[Unit]</t>
  </si>
  <si>
    <t>Variable</t>
  </si>
  <si>
    <t>OTHER VALUES</t>
  </si>
  <si>
    <t>[km]</t>
  </si>
  <si>
    <t>Grid size in Arome-model</t>
  </si>
  <si>
    <t>LWE  =</t>
  </si>
  <si>
    <t>ND    =</t>
  </si>
  <si>
    <t>LNS   =</t>
  </si>
  <si>
    <t>Nordøstlige hjørne grid</t>
  </si>
  <si>
    <t>Sørøstlige hjørne grid</t>
  </si>
  <si>
    <t>Sørvestlig hjørne grid</t>
  </si>
  <si>
    <t xml:space="preserve">Number of Nodes = </t>
  </si>
  <si>
    <t>Startdate =</t>
  </si>
  <si>
    <t>First file availeble from Met</t>
  </si>
  <si>
    <t>Enddate =</t>
  </si>
  <si>
    <t>Length outerbound sub grid in Arome model from west to east</t>
  </si>
  <si>
    <t>Length outerbound sub grid in Arome model from north to south</t>
  </si>
  <si>
    <t>Laste file availeble from Met</t>
  </si>
  <si>
    <t>Numbers of files each dag  =</t>
  </si>
  <si>
    <t>Number of days in data  =</t>
  </si>
  <si>
    <t>[days]</t>
  </si>
  <si>
    <t xml:space="preserve">Number of files = </t>
  </si>
  <si>
    <t>Number of modell runs each day</t>
  </si>
  <si>
    <t>Numbers of days with weathe forecast availeble.</t>
  </si>
  <si>
    <t>Elevation
groundlevel</t>
  </si>
  <si>
    <t>[YES/NO]</t>
  </si>
  <si>
    <t>TYPE OF DATA TO BE EXTRACTED FROM AROME-MODEL</t>
  </si>
  <si>
    <t>NA</t>
  </si>
  <si>
    <t>Extract data from Arome-model</t>
  </si>
  <si>
    <t>North west grid corner</t>
  </si>
  <si>
    <t>North east grid corner</t>
  </si>
  <si>
    <t>South east grid corner</t>
  </si>
  <si>
    <t>Sout west grid corner</t>
  </si>
  <si>
    <t>Number of Met-stations =</t>
  </si>
  <si>
    <t>Number of windmills      =</t>
  </si>
  <si>
    <t>Met-station that we have historical data from</t>
  </si>
  <si>
    <t>Forecast values                  =</t>
  </si>
  <si>
    <t>Number of forecast values in each file, temperatur, pressure etc.</t>
  </si>
  <si>
    <t>Number nodes that are given by the Arome-model grid</t>
  </si>
  <si>
    <t>Numbers of files to create when all datatypes are written in one file</t>
  </si>
  <si>
    <t>GRID CHECK</t>
  </si>
  <si>
    <t>Northernmost point of grid =</t>
  </si>
  <si>
    <t>Southernmost point of grid =</t>
  </si>
  <si>
    <t>Westermost point of grid     =</t>
  </si>
  <si>
    <t>[Degree]</t>
  </si>
  <si>
    <t>Unit</t>
  </si>
  <si>
    <t>Air-temperature</t>
  </si>
  <si>
    <t>Ørlandet lll</t>
  </si>
  <si>
    <t>Oerlandet lll</t>
  </si>
  <si>
    <t>Skomaker windpylon</t>
  </si>
  <si>
    <t>Halten Lighthouse</t>
  </si>
  <si>
    <t>Namsos Airport</t>
  </si>
  <si>
    <t>Roervik Airport</t>
  </si>
  <si>
    <t>Vaernes Airport</t>
  </si>
  <si>
    <t>Namsos Lufthavn</t>
  </si>
  <si>
    <t>Rørvik Lufthavn</t>
  </si>
  <si>
    <t>Halten Fyr</t>
  </si>
  <si>
    <t>Buholmråsa Fyr</t>
  </si>
  <si>
    <t>Buholmraasa Lighthouse</t>
  </si>
  <si>
    <t>Windfarm</t>
  </si>
  <si>
    <t>INFORMATION ABOUT POINTS WHERE DATA IS FORCASTED AND OBSERVED</t>
  </si>
  <si>
    <t>[MW]</t>
  </si>
  <si>
    <t>Production</t>
  </si>
  <si>
    <t>Nose
Heading</t>
  </si>
  <si>
    <t>Wind speed
Nacelle</t>
  </si>
  <si>
    <t>Wind direction
Nacelle</t>
  </si>
  <si>
    <t>Timeseries name in ICC-DB</t>
  </si>
  <si>
    <t>Status
[0 = offline, 1 = operational]</t>
  </si>
  <si>
    <t>[Binary]</t>
  </si>
  <si>
    <t>/BESS-Bessakerfj.-G1-T4015A3 -0104</t>
  </si>
  <si>
    <t>/BESS-Bessakerfj.-G2-T4015A3 -0104</t>
  </si>
  <si>
    <t>/BESS-Bessakerfj.-G24-T4015A3 -0104</t>
  </si>
  <si>
    <t>/BESS-Bessakerfj.-G3-T4015A3 -0104</t>
  </si>
  <si>
    <t>/BESS-Bessakerfj.-G4-T4015A3 -0104</t>
  </si>
  <si>
    <t>/BESS-Bessakerfj.-G5-T4015A3 -0104</t>
  </si>
  <si>
    <t>/BESS-Bessakerfj.-G6-T4015A3 -0104</t>
  </si>
  <si>
    <t>/BESS-Bessakerfj.-G7-T4015A3 -0104</t>
  </si>
  <si>
    <t>/BESS-Bessakerfj.-G8-T4015A3 -0104</t>
  </si>
  <si>
    <t>/BESS-Bessakerfj.-G9-T4015A3 -0104</t>
  </si>
  <si>
    <t>/BESS-Bessakerfj.-G10-T4015A3 -0104</t>
  </si>
  <si>
    <t>/BESS-Bessakerfj.-G11-T4015A3 -0104</t>
  </si>
  <si>
    <t>/BESS-Bessakerfj.-G12-T4015A3 -0104</t>
  </si>
  <si>
    <t>/BESS-Bessakerfj.-G13-T4015A3 -0104</t>
  </si>
  <si>
    <t>/BESS-Bessakerfj.-G14-T4015A3 -0104</t>
  </si>
  <si>
    <t>/BESS-Bessakerfj.-G15-T4015A3 -0104</t>
  </si>
  <si>
    <t>/BESS-Bessakerfj.-G16-T4015A3 -0104</t>
  </si>
  <si>
    <t>/BESS-Bessakerfj.-G17-T4015A3 -0104</t>
  </si>
  <si>
    <t>/BESS-Bessakerfj.-G18-T4015A3 -0104</t>
  </si>
  <si>
    <t>/BESS-Bessakerfj.-G19-T4015A3 -0104</t>
  </si>
  <si>
    <t>/BESS-Bessakerfj.-G20-T4015A3 -0104</t>
  </si>
  <si>
    <t>/BESS-Bessakerfj.-G21-T4015A3 -0104</t>
  </si>
  <si>
    <t>/BESS-Bessakerfj.-G22-T4015A3 -0104</t>
  </si>
  <si>
    <t>/BESS-Bessakerfj.-G23-T4015A3 -0104</t>
  </si>
  <si>
    <t>/BESS-Bessakerfj.-G25-T4015A3 -0104</t>
  </si>
  <si>
    <t>/RRS.S2464.Gunit.M1-7 G1.AVL</t>
  </si>
  <si>
    <t>/BESS-Bessakerfj.-V1-T0016A3 -0120</t>
  </si>
  <si>
    <t>/BESS-Bessakerfj.-V2-T0016A3 -0120</t>
  </si>
  <si>
    <t>/BESS-Bessakerfj.-V3-T0016A3 -0120</t>
  </si>
  <si>
    <t>/BESS-Bessakerfj.-V4-T0016A3 -0120</t>
  </si>
  <si>
    <t>/BESS-Bessakerfj.-V5-T0016A3 -0120</t>
  </si>
  <si>
    <t>/BESS-Bessakerfj.-V6-T0016A3 -0120</t>
  </si>
  <si>
    <t>/BESS-Bessakerfj.-V7-T0016A3 -0120</t>
  </si>
  <si>
    <t>/BESS-Bessakerfj.-V8-T0016A3 -0120</t>
  </si>
  <si>
    <t>/BESS-Bessakerfj.-V9-T0016A3 -0120</t>
  </si>
  <si>
    <t>/BESS-Bessakerfj.-V10-T0016A3 -0120</t>
  </si>
  <si>
    <t>/BESS-Bessakerfj.-V11-T0016A3 -0120</t>
  </si>
  <si>
    <t>/BESS-Bessakerfj.-V12-T0016A3 -0120</t>
  </si>
  <si>
    <t>/BESS-Bessakerfj.-V13-T0016A3 -0120</t>
  </si>
  <si>
    <t>/BESS-Bessakerfj.-V14-T0016A3 -0120</t>
  </si>
  <si>
    <t>/BESS-Bessakerfj.-V15-T0016A3 -0120</t>
  </si>
  <si>
    <t>/BESS-Bessakerfj.-V16-T0016A3 -0120</t>
  </si>
  <si>
    <t>/BESS-Bessakerfj.-V17-T0016A3 -0120</t>
  </si>
  <si>
    <t>/BESS-Bessakerfj.-V18-T0016A3 -0120</t>
  </si>
  <si>
    <t>/BESS-Bessakerfj.-V19-T0016A3 -0120</t>
  </si>
  <si>
    <t>/BESS-Bessakerfj.-V20-T0016A3 -0120</t>
  </si>
  <si>
    <t>/BESS-Bessakerfj.-V21-T0016A3 -0120</t>
  </si>
  <si>
    <t>/BESS-Bessakerfj.-V22-T0016A3 -0120</t>
  </si>
  <si>
    <t>/BESS-Bessakerfj.-V23-T0016A3 -0120</t>
  </si>
  <si>
    <t>/BESS-Bessakerfj.-V24-T0016A3 -0120</t>
  </si>
  <si>
    <t>/BESS-Bessakerfj.-V25-T0016A3 -0120</t>
  </si>
  <si>
    <t>/BESS-BessakerfNP-V1-T0014A3 -0113</t>
  </si>
  <si>
    <t>/BESS-BessakerfNP-V2-T0014A3 -0113</t>
  </si>
  <si>
    <t>/BESS-BessakerfNP-V3-T0014A3 -0113</t>
  </si>
  <si>
    <t>/BESS-BessakerfNP-V4-T0014A3 -0113</t>
  </si>
  <si>
    <t>/BESS-BessakerfNP-V5-T0014A3 -0113</t>
  </si>
  <si>
    <t>/BESS-BessakerfNP-V6-T0014A3 -0113</t>
  </si>
  <si>
    <t>/BESS-BessakerfNP-V7-T0014A3 -0113</t>
  </si>
  <si>
    <t>/BESS-BessakerfNP-V8-T0014A3 -0113</t>
  </si>
  <si>
    <t>/BESS-BessakerfNP-V9-T0014A3 -0113</t>
  </si>
  <si>
    <t>/BESS-BessakerfNP-V10-T0014A3 -0113</t>
  </si>
  <si>
    <t>/BESS-BessakerfNP-V11-T0014A3 -0113</t>
  </si>
  <si>
    <t>/BESS-BessakerfNP-V12-T0014A3 -0113</t>
  </si>
  <si>
    <t>/BESS-BessakerfNP-V13-T0014A3 -0113</t>
  </si>
  <si>
    <t>/BESS-BessakerfNP-V14-T0014A3 -0113</t>
  </si>
  <si>
    <t>/BESS-BessakerfNP-V15-T0014A3 -0113</t>
  </si>
  <si>
    <t>/BESS-BessakerfNP-V16-T0014A3 -0113</t>
  </si>
  <si>
    <t>/BESS-BessakerfNP-V17-T0014A3 -0113</t>
  </si>
  <si>
    <t>/BESS-BessakerfNP-V18-T0014A3 -0113</t>
  </si>
  <si>
    <t>/BESS-BessakerfNP-V19-T0014A3 -0113</t>
  </si>
  <si>
    <t>/BESS-BessakerfNP-V20-T0014A3 -0113</t>
  </si>
  <si>
    <t>/BESS-BessakerfNP-V21-T0014A3 -0113</t>
  </si>
  <si>
    <t>/BESS-BessakerfNP-V22-T0014A3 -0113</t>
  </si>
  <si>
    <t>/BESS-BessakerfNP-V23-T0014A3 -0113</t>
  </si>
  <si>
    <t>/BESS-BessakerfNP-V24-T0014A3 -0113</t>
  </si>
  <si>
    <t>/BESS-BessakerfNP-V25-T0014A3 -0113</t>
  </si>
  <si>
    <t>/SKOM-SfjHydVindhMid-T0016A3 -0120</t>
  </si>
  <si>
    <t>[Integer]</t>
  </si>
  <si>
    <t>/BESS-Bessakerfj.-G1-T-0  A0 -0000</t>
  </si>
  <si>
    <t>/BESS-Bessakerfj.-G2-T-0  A0 -0000</t>
  </si>
  <si>
    <t>/BESS-Bessakerfj.-G3-T-0  A0 -0000</t>
  </si>
  <si>
    <t>/BESS-Bessakerfj.-G4-T-0  A0 -0000</t>
  </si>
  <si>
    <t>/BESS-Bessakerfj.-G5-T-0  A0 -0000</t>
  </si>
  <si>
    <t>/BESS-Bessakerfj.-G6-T-0  A0 -0000</t>
  </si>
  <si>
    <t>/BESS-Bessakerfj.-G7-T-0  A0 -0000</t>
  </si>
  <si>
    <t>/BESS-Bessakerfj.-G8-T-0  A0 -0000</t>
  </si>
  <si>
    <t>/BESS-Bessakerfj.-G9-T-0  A0 -0000</t>
  </si>
  <si>
    <t>/BESS-Bessakerfj.-G10-T-0  A0 -0000</t>
  </si>
  <si>
    <t>/BESS-Bessakerfj.-G11-T-0  A0 -0000</t>
  </si>
  <si>
    <t>/BESS-Bessakerfj.-G12-T-0  A0 -0000</t>
  </si>
  <si>
    <t>/BESS-Bessakerfj.-G13-T-0  A0 -0000</t>
  </si>
  <si>
    <t>/BESS-Bessakerfj.-G14-T-0  A0 -0000</t>
  </si>
  <si>
    <t>/BESS-Bessakerfj.-G15-T-0  A0 -0000</t>
  </si>
  <si>
    <t>/BESS-Bessakerfj.-G16-T-0  A0 -0000</t>
  </si>
  <si>
    <t>/BESS-Bessakerfj.-G17-T-0  A0 -0000</t>
  </si>
  <si>
    <t>/BESS-Bessakerfj.-G18-T-0  A0 -0000</t>
  </si>
  <si>
    <t>/BESS-Bessakerfj.-G19-T-0  A0 -0000</t>
  </si>
  <si>
    <t>/BESS-Bessakerfj.-G20-T-0  A0 -0000</t>
  </si>
  <si>
    <t>/BESS-Bessakerfj.-G21-T-0  A0 -0000</t>
  </si>
  <si>
    <t>/BESS-Bessakerfj.-G22-T-0  A0 -0000</t>
  </si>
  <si>
    <t>/BESS-Bessakerfj.-G23-T-0  A0 -0000</t>
  </si>
  <si>
    <t>/BESS-Bessakerfj.-G24-T-0  A0 -0000</t>
  </si>
  <si>
    <t>/BESS-Bessakerfj.-G25-T-0  A0 -0000</t>
  </si>
  <si>
    <t xml:space="preserve">Error codes
</t>
  </si>
  <si>
    <t>NA()  due to turbulence</t>
  </si>
  <si>
    <t>Wind direction</t>
  </si>
  <si>
    <t>[Celsius]</t>
  </si>
  <si>
    <t>Wind speed
at ground elevation 10 meter</t>
  </si>
  <si>
    <t>Wind
direction</t>
  </si>
  <si>
    <t>Wind average
speed</t>
  </si>
  <si>
    <t>UTC +1</t>
  </si>
  <si>
    <t>Normaltime</t>
  </si>
  <si>
    <t>Extract data in
timezone</t>
  </si>
  <si>
    <t>Timetype
[no summer/ wintertime]</t>
  </si>
  <si>
    <t>Bessaker (center point)</t>
  </si>
  <si>
    <t>1-25</t>
  </si>
  <si>
    <t>/TS-Straum066_BessVind_Inn</t>
  </si>
  <si>
    <t>/SKOM-SfjHydLt30mMid-T0018A3 -0114</t>
  </si>
  <si>
    <t>/SKOM-SfjHydVindrMid-T0014A3 -0113</t>
  </si>
  <si>
    <t>TS-Series data used in spot and balancing marked</t>
  </si>
  <si>
    <t>[NOK/MWh]</t>
  </si>
  <si>
    <t>[MWh]</t>
  </si>
  <si>
    <t>Time issues</t>
  </si>
  <si>
    <t>TS-Name</t>
  </si>
  <si>
    <t>/STN-AVR-PP-NOKG00323-2</t>
  </si>
  <si>
    <t>/2-ProgramNettoBessaker</t>
  </si>
  <si>
    <t>/AIM-BESSAKERFJELLET-VIND-PROD-Ref-Stra</t>
  </si>
  <si>
    <t>/AIM-SKOMAKERFJELLET-VIND-PROD-Ref-Stra</t>
  </si>
  <si>
    <t>/VALUTA_NB_NOKEUR_DAG_NOKEUR</t>
  </si>
  <si>
    <t>[NOK/EUR]</t>
  </si>
  <si>
    <t>/PRIS_ELSPOT_NOK_ORKDAL</t>
  </si>
  <si>
    <t>Resolution</t>
  </si>
  <si>
    <t>Hour</t>
  </si>
  <si>
    <t>Working day</t>
  </si>
  <si>
    <t>Variable name</t>
  </si>
  <si>
    <t>SPOT(t)</t>
  </si>
  <si>
    <t>ProdBess(t)</t>
  </si>
  <si>
    <t>ProdSkom(t)</t>
  </si>
  <si>
    <t>PLAN(t)</t>
  </si>
  <si>
    <t>ACT(t)</t>
  </si>
  <si>
    <t>BalPrice(t)</t>
  </si>
  <si>
    <t>EURO(d)</t>
  </si>
  <si>
    <t>/TS-SYS-REGKR-PRI-NO3</t>
  </si>
  <si>
    <t>Skomakerfjellet Windfarms share of production in Stroem-gridpoint. This park is has been connected to the grid
from 01.01.2016. Hence before this point in time values should be nil.</t>
  </si>
  <si>
    <t>Gate closure is 45 minute ahead of the hour 24/7 all year.</t>
  </si>
  <si>
    <t>Available after the operating hour.</t>
  </si>
  <si>
    <r>
      <t xml:space="preserve">Sale done in the day ahead marked for Bessaker Windfarm. This is volume sold for the next day for
the hours 1 to 24. Values based on forecasted values for the next day and is corrected for transformer and transportation loss to </t>
    </r>
    <r>
      <rPr>
        <b/>
        <sz val="11"/>
        <color rgb="FF3F3F76"/>
        <rFont val="Calibri"/>
        <family val="2"/>
        <scheme val="minor"/>
      </rPr>
      <t>Stroem-gridpoint</t>
    </r>
    <r>
      <rPr>
        <sz val="11"/>
        <color rgb="FF3F3F76"/>
        <rFont val="Calibri"/>
        <family val="2"/>
        <scheme val="minor"/>
      </rPr>
      <t>.</t>
    </r>
  </si>
  <si>
    <t>How much that is sold is available at time the spot-price is published. Hence is the production available around 01:00 pm the day before the production happens.</t>
  </si>
  <si>
    <r>
      <t xml:space="preserve">Bessaker windfarms share of production in Stroem-gridpoint. Before late 2015 this was not defined, since the actual value measured at </t>
    </r>
    <r>
      <rPr>
        <b/>
        <sz val="11"/>
        <color rgb="FF3F3F76"/>
        <rFont val="Calibri"/>
        <family val="2"/>
        <scheme val="minor"/>
      </rPr>
      <t xml:space="preserve">Stroem grid point </t>
    </r>
    <r>
      <rPr>
        <sz val="11"/>
        <color rgb="FF3F3F76"/>
        <rFont val="Calibri"/>
        <family val="2"/>
        <scheme val="minor"/>
      </rPr>
      <t>was only coming from Bessaker Windfarm. Before 01.01.2016 this values should be equal to the values in the timeserie "/TS-Straum066_BessVind_Inn".</t>
    </r>
  </si>
  <si>
    <t>Settlement values, not available in real-time. During normal operation these values are available 8 pm the day after the production was done. Theses values comes from calibrated measuring devices.</t>
  </si>
  <si>
    <r>
      <t xml:space="preserve">Balancing price in </t>
    </r>
    <r>
      <rPr>
        <b/>
        <sz val="11"/>
        <color rgb="FF3F3F76"/>
        <rFont val="Calibri"/>
        <family val="2"/>
        <scheme val="minor"/>
      </rPr>
      <t>Stroem-gridpoint</t>
    </r>
    <r>
      <rPr>
        <sz val="11"/>
        <color rgb="FF3F3F76"/>
        <rFont val="Calibri"/>
        <family val="2"/>
        <scheme val="minor"/>
      </rPr>
      <t>, normally referred to as regulation price for NO3, since this grid point is within the NO3-area. If this prices is above the spot price for the marked is regulated upward in the NO3-area, and vise-versa for down-regulation.</t>
    </r>
  </si>
  <si>
    <t>Values only available on working days.</t>
  </si>
  <si>
    <r>
      <t xml:space="preserve">Actual production measured at </t>
    </r>
    <r>
      <rPr>
        <b/>
        <sz val="11"/>
        <color rgb="FF3F3F76"/>
        <rFont val="Calibri"/>
        <family val="2"/>
        <scheme val="minor"/>
      </rPr>
      <t>Stroem grid point</t>
    </r>
    <r>
      <rPr>
        <sz val="11"/>
        <color rgb="FF3F3F76"/>
        <rFont val="Calibri"/>
        <family val="2"/>
        <scheme val="minor"/>
      </rPr>
      <t xml:space="preserve"> at time T. This value should be close to the sum of production for all mills in Bessaker Wind park minus 2,5 % loss due to transformation and resistance in power lines. Since 01.01.2016 this value is replaced by the timeserie "/AIM-BESSAKERFJELLET-VIND-PROD-Ref-Stra". Only added so it's possible to make an control of the mention timeserie.</t>
    </r>
  </si>
  <si>
    <t>Exchange-rate needed if it is preferred to work economical figures in EUR.</t>
  </si>
  <si>
    <t>Pylon for measuring wind data</t>
  </si>
  <si>
    <t>Bidding must be done 12 pm. and the day ahead price is published around 01:00 pm. Hence are theses prices available the day before the production happens.</t>
  </si>
  <si>
    <t>/VALS-Valsneset..-G1-T-0  -0000</t>
  </si>
  <si>
    <t>/VALS-Valsneset..-G2-T-0  -0000</t>
  </si>
  <si>
    <t>/VALS-Valsneset..-G3-T-0  -0000</t>
  </si>
  <si>
    <t>/VALS-Valsneset..-G4-T-0  -0000</t>
  </si>
  <si>
    <t>/VALS-Valsneset..-G5-T-0  -0000</t>
  </si>
  <si>
    <t>/RRS.S2451.Gunit.M1 G1.AVL</t>
  </si>
  <si>
    <t>/RRS.S2451.Gunit.M2 G1.AVL</t>
  </si>
  <si>
    <t>/RRS.S2451.Gunit.M3 G1.AVL</t>
  </si>
  <si>
    <t>/RRS.S2451.Gunit.M4 G1.AVL</t>
  </si>
  <si>
    <t>/RRS.S2451.Gunit.M5 G1.AVL</t>
  </si>
  <si>
    <t>/VALS-Valsneset..-G1-T4015A3 -0104</t>
  </si>
  <si>
    <t>/VALS-Valsneset..-G2-T4015A3 -0104</t>
  </si>
  <si>
    <t>/VALS-Valsneset..-G3-T4015A3 -0104</t>
  </si>
  <si>
    <t>/VALS-Valsneset..-G4-T4015A3 -0104</t>
  </si>
  <si>
    <t>/VALS-Valsneset..-G5-T4015A3 -0104</t>
  </si>
  <si>
    <t>VALS-ValsnesetNP-V1-T0014A3.-0113</t>
  </si>
  <si>
    <t>VALS-ValsnesetNP-V2-T0014A3.-0113</t>
  </si>
  <si>
    <t>VALS-ValsnesetNP-V3-T0014A3.-0113</t>
  </si>
  <si>
    <t>VALS-ValsnesetNP-V4-T0014A3.-0113</t>
  </si>
  <si>
    <t>VALS-ValsnesetNP-V5-T0014A3.-0113</t>
  </si>
  <si>
    <t>1-5</t>
  </si>
  <si>
    <t>Valsneset</t>
  </si>
  <si>
    <t>MISSING FOR THE WHOLE  PERIODE</t>
  </si>
  <si>
    <t>/TS-Prod-Valsneset-Vindkraft</t>
  </si>
  <si>
    <t>Valsneset(Center point)</t>
  </si>
  <si>
    <t>Eastermost point of grid       =</t>
  </si>
  <si>
    <t>Points north of grid                 =</t>
  </si>
  <si>
    <t>Points south of grid                 =</t>
  </si>
  <si>
    <t>Points west of grid                   =</t>
  </si>
  <si>
    <t>Point east of grid                       =</t>
  </si>
  <si>
    <t>Number of windmills in the Bessaker and Valsneset windfarm.</t>
  </si>
  <si>
    <t>/2-ProgramNettoValsnes</t>
  </si>
  <si>
    <t>SALEV(t)</t>
  </si>
  <si>
    <t>SALEB(t)</t>
  </si>
  <si>
    <t>Spotprice for Bessaker and Valsneset windfarm, this is what commonly is referred to as the NO3-price. Actually it's a price for a specific point in the Norwegian power grid.</t>
  </si>
  <si>
    <t>/STORM-Bess-Vindhast-25km</t>
  </si>
  <si>
    <t>/STORM-Bess-Vindretn-25km</t>
  </si>
  <si>
    <t>/STORM-Vals-Vindhast-25km</t>
  </si>
  <si>
    <t>/STORM-Vals-Vindretn-25km</t>
  </si>
  <si>
    <t>Windforecast Bessaker</t>
  </si>
  <si>
    <t>Windforecast  Valsneset</t>
  </si>
  <si>
    <r>
      <t xml:space="preserve">Sale done in the day ahead marked for Valsneset Windfarm. This is volume sold for the next day for
the hours 1 to 24. Values based on forecasted values for the next day and is corrected for transformer and transportation loss to </t>
    </r>
    <r>
      <rPr>
        <b/>
        <sz val="11"/>
        <color rgb="FF3F3F76"/>
        <rFont val="Calibri"/>
        <family val="2"/>
        <scheme val="minor"/>
      </rPr>
      <t xml:space="preserve">grid(a few houndred meter). </t>
    </r>
    <r>
      <rPr>
        <sz val="11"/>
        <color rgb="FF3F3F76"/>
        <rFont val="Calibri"/>
        <family val="2"/>
        <scheme val="minor"/>
      </rPr>
      <t>This production is feed in to Bjugn Transformater(grid-point).</t>
    </r>
  </si>
  <si>
    <t xml:space="preserve">Sum planned production for Bessaker and Valsneset windfarms for each hour. Can be changed until 0:45 hours before the operating hour. Actual production minus this value is what is called production unbalance. This is the value(production unbalance) we wish to minimize. </t>
  </si>
  <si>
    <t>T15</t>
  </si>
  <si>
    <t>T14</t>
  </si>
  <si>
    <t>T17</t>
  </si>
  <si>
    <t>T16</t>
  </si>
  <si>
    <t>T13</t>
  </si>
  <si>
    <t>T12</t>
  </si>
  <si>
    <t>T11</t>
  </si>
  <si>
    <t>T2</t>
  </si>
  <si>
    <t>T1</t>
  </si>
  <si>
    <t>T3</t>
  </si>
  <si>
    <t>T4</t>
  </si>
  <si>
    <t>T5</t>
  </si>
  <si>
    <t>T10</t>
  </si>
  <si>
    <t>T6</t>
  </si>
  <si>
    <t>T7</t>
  </si>
  <si>
    <t>T9</t>
  </si>
  <si>
    <t>T8</t>
  </si>
  <si>
    <t>POSISTION DATA VALSNESET WINDFARM</t>
  </si>
  <si>
    <t>POSISTION DATA SKOMAKERFJELLET WINDFARM</t>
  </si>
  <si>
    <t>Vestas</t>
  </si>
  <si>
    <t>Skomakerfjellet</t>
  </si>
  <si>
    <t>POSISTION DATA YTRE VIKNA WINDFARM</t>
  </si>
  <si>
    <t>Ytre Vikna</t>
  </si>
  <si>
    <t xml:space="preserve">Ytre Vikna </t>
  </si>
  <si>
    <t>Degrees North
WGS84</t>
  </si>
  <si>
    <t>Degrees 
East
WGS84</t>
  </si>
  <si>
    <t>SKOM-Skomakerfj.-G1-T4015A3 -0104</t>
  </si>
  <si>
    <t>SKOM-Skomakerfj.-G2-T4015A3 -0104</t>
  </si>
  <si>
    <t>SKOM-Skomakerfj.-G3-T4015A3 -0104</t>
  </si>
  <si>
    <t>SKOM-Skomakerfj.-G4-T4015A3 -0104</t>
  </si>
  <si>
    <t>AIMW-SKOMAKERFJELLET-VIND-PROD</t>
  </si>
  <si>
    <t>YVIK-YtreVikna1NP-V1-T0014A3.-0113</t>
  </si>
  <si>
    <t>YVIK-YtreVikna1NP-V10-T0014A3.-0113</t>
  </si>
  <si>
    <t>YVIK-YtreVikna1NP-V11-T0014A3.-0113</t>
  </si>
  <si>
    <t>YVIK-YtreVikna1NP-V12-T0014A3.-0113</t>
  </si>
  <si>
    <t>YVIK-YtreVikna1NP-V13-T0014A3.-0113</t>
  </si>
  <si>
    <t>YVIK-YtreVikna1NP-V14-T0014A3.-0113</t>
  </si>
  <si>
    <t>YVIK-YtreVikna1NP-V15-T0014A3.-0113</t>
  </si>
  <si>
    <t>YVIK-YtreVikna1NP-V16-T0014A3.-0113</t>
  </si>
  <si>
    <t>YVIK-YtreVikna1NP-V17-T0014A3.-0113</t>
  </si>
  <si>
    <t>YVIK-YtreVikna1NP-V2-T0014A3.-0113</t>
  </si>
  <si>
    <t>YVIK-YtreVikna1NP-V3-T0014A3.-0113</t>
  </si>
  <si>
    <t>YVIK-YtreVikna1NP-V4-T0014A3.-0113</t>
  </si>
  <si>
    <t>YVIK-YtreVikna1NP-V5-T0014A3.-0113</t>
  </si>
  <si>
    <t>YVIK-YtreVikna1NP-V6-T0014A3.-0113</t>
  </si>
  <si>
    <t>YVIK-YtreVikna1NP-V7-T0014A3.-0113</t>
  </si>
  <si>
    <t>YVIK-YtreVikna1NP-V8-T0014A3.-0113</t>
  </si>
  <si>
    <t>YVIK-YtreVikna1NP-V9-T0014A3.-0113</t>
  </si>
  <si>
    <t>YVIK-YtreVikna1..-V1-T0016A3 -0108</t>
  </si>
  <si>
    <t>YVIK-YtreVikna1..-V10-T0016A3 -0108</t>
  </si>
  <si>
    <t>YVIK-YtreVikna1..-V11-T0016A3 -0108</t>
  </si>
  <si>
    <t>YVIK-YtreVikna1..-V12-T0016A3 -0108</t>
  </si>
  <si>
    <t>YVIK-YtreVikna1..-V13-T0016A3 -0108</t>
  </si>
  <si>
    <t>YVIK-YtreVikna1..-V14-T0016A3 -0108</t>
  </si>
  <si>
    <t>YVIK-YtreVikna1..-V15-T0016A3 -0108</t>
  </si>
  <si>
    <t>YVIK-YtreVikna1..-V16-T0016A3 -0108</t>
  </si>
  <si>
    <t>YVIK-YtreVikna1..-V17-T0016A3 -0108</t>
  </si>
  <si>
    <t>YVIK-YtreVikna1..-V2-T0016A3 -0108</t>
  </si>
  <si>
    <t>YVIK-YtreVikna1..-V3-T0016A3 -0108</t>
  </si>
  <si>
    <t>YVIK-YtreVikna1..-V4-T0016A3 -0108</t>
  </si>
  <si>
    <t>YVIK-YtreVikna1..-V5-T0016A3 -0108</t>
  </si>
  <si>
    <t>YVIK-YtreVikna1..-V6-T0016A3 -0108</t>
  </si>
  <si>
    <t>YVIK-YtreVikna1..-V7-T0016A3 -0108</t>
  </si>
  <si>
    <t>YVIK-YtreVikna1..-V8-T0016A3 -0108</t>
  </si>
  <si>
    <t>YVIK-YtreVikna1..-V9-T0016A3 -0108</t>
  </si>
  <si>
    <t>YVIK-YtreVikna1.-G1-T4015A3 -0104</t>
  </si>
  <si>
    <t>YVIK-YtreVikna1.-G2-T4015A3 -0104</t>
  </si>
  <si>
    <t>YVIK-YtreVikna1.-G3-T4015A3 -0104</t>
  </si>
  <si>
    <t>YVIK-YtreVikna1.-G4-T4015A3 -0104</t>
  </si>
  <si>
    <t>YVIK-YtreVikna1.-G5-T4015A3 -0104</t>
  </si>
  <si>
    <t>YVIK-YtreVikna1.-G6-T4015A3 -0104</t>
  </si>
  <si>
    <t>YVIK-YtreVikna1.-G7-T4015A3 -0104</t>
  </si>
  <si>
    <t>YVIK-YtreVikna1.-G8-T4015A3 -0104</t>
  </si>
  <si>
    <t>YVIK-YtreVikna1.-G9-T4015A3 -0104</t>
  </si>
  <si>
    <t>YVIK-YtreVikna1-G10-T4015A3 -0104</t>
  </si>
  <si>
    <t>YVIK-YtreVikna1-G11-T4015A3 -0104</t>
  </si>
  <si>
    <t>YVIK-YtreVikna1-G12-T4015A3 -0104</t>
  </si>
  <si>
    <t>YVIK-YtreVikna1-G13-T4015A3 -0104</t>
  </si>
  <si>
    <t>YVIK-YtreVikna1-G14-T4015A3 -0104</t>
  </si>
  <si>
    <t>YVIK-YtreVikna1-G15-T4015A3 -0104</t>
  </si>
  <si>
    <t>YVIK-YtreVikna1-G16-T4015A3 -0104</t>
  </si>
  <si>
    <t>YVIK-YtreVikna1-G17-T4015A3 -0104</t>
  </si>
  <si>
    <t>YVIK-YtreVikna.-prod-til-Rørv.ref.Namsos</t>
  </si>
  <si>
    <t>RRS.S2502.Gunit.M1 G1.AVL</t>
  </si>
  <si>
    <t>RRS.S2502.Gunit.M10 G1.AVL</t>
  </si>
  <si>
    <t>RRS.S2502.Gunit.M11 G1.AVL</t>
  </si>
  <si>
    <t>RRS.S2502.Gunit.M12 G1.AVL</t>
  </si>
  <si>
    <t>RRS.S2502.Gunit.M13 G1.AVL</t>
  </si>
  <si>
    <t>RRS.S2502.Gunit.M14 G1.AVL</t>
  </si>
  <si>
    <t>RRS.S2502.Gunit.M15 G1.AVL</t>
  </si>
  <si>
    <t>RRS.S2502.Gunit.M16 G1.AVL</t>
  </si>
  <si>
    <t>RRS.S2502.Gunit.M17 G1.AVL</t>
  </si>
  <si>
    <t>RRS.S2502.Gunit.M2 G1.AVL</t>
  </si>
  <si>
    <t>RRS.S2502.Gunit.M3 G1.AVL</t>
  </si>
  <si>
    <t>RRS.S2502.Gunit.M4 G1.AVL</t>
  </si>
  <si>
    <t>RRS.S2502.Gunit.M5 G1.AVL</t>
  </si>
  <si>
    <t>RRS.S2502.Gunit.M6 G1.AVL</t>
  </si>
  <si>
    <t>RRS.S2502.Gunit.M7 G1.AVL</t>
  </si>
  <si>
    <t>RRS.S2502.Gunit.M8 G1.AVL</t>
  </si>
  <si>
    <t>RRS.S2502.Gunit.M9 G1.AVL</t>
  </si>
  <si>
    <t>SKOM-SkomakerfjNP-V1-T0014A3 -0113</t>
  </si>
  <si>
    <t>SKOM-SkomakerfjNP-V2-T0014A3 -0113</t>
  </si>
  <si>
    <t>SKOM-SkomakerfjNP-V3-T0014A3 -0113</t>
  </si>
  <si>
    <t>SKOM-SkomakerfjNP-V4-T0014A3 -0113</t>
  </si>
  <si>
    <t>SKOM-Skomakerfj.-V1-T0016A3 -0120</t>
  </si>
  <si>
    <t>SKOM-Skomakerfj.-V2-T0016A3 -0120</t>
  </si>
  <si>
    <t>SKOM-Skomakerfj.-V3-T0016A3 -0120</t>
  </si>
  <si>
    <t>SKOM-Skomakerfj.-V4-T0016A3 -0120</t>
  </si>
  <si>
    <t>1-17</t>
  </si>
  <si>
    <t>/RRS.S2464.Gunit.M1-7 G2.AVL</t>
  </si>
  <si>
    <t>/RRS.S2464.Gunit.M1-7 G3.AVL</t>
  </si>
  <si>
    <t>/RRS.S2464.Gunit.M1-7 G4.AVL</t>
  </si>
  <si>
    <t>/RRS.S2464.Gunit.M1-7 G5.AVL</t>
  </si>
  <si>
    <t>/RRS.S2464.Gunit.M1-7 G6.AVL</t>
  </si>
  <si>
    <t>/RRS.S2464.Gunit.M1-7 G7.AVL</t>
  </si>
  <si>
    <t>/RRS.S2464.Gunit.M8 G1.AVL</t>
  </si>
  <si>
    <t>/RRS.S2464.Gunit.M9 G1.AVL</t>
  </si>
  <si>
    <t>/RRS.S2464.Gunit.M10 G1.AVL</t>
  </si>
  <si>
    <t>/RRS.S2464.Gunit.M11 G1.AVL</t>
  </si>
  <si>
    <t>/RRS.S2464.Gunit.M12 G1.AVL</t>
  </si>
  <si>
    <t>/RRS.S2464.Gunit.M13 G1.AVL</t>
  </si>
  <si>
    <t>/RRS.S2464.Gunit.M14 G1.AVL</t>
  </si>
  <si>
    <t>/RRS.S2464.Gunit.M15 G1.AVL</t>
  </si>
  <si>
    <t>/RRS.S2464.Gunit.M16 G1.AVL</t>
  </si>
  <si>
    <t>/RRS.S2464.Gunit.M17 G1.AVL</t>
  </si>
  <si>
    <t>/RRS.S2464.Gunit.M18 G1.AVL</t>
  </si>
  <si>
    <t>/RRS.S2464.Gunit.M19 G1.AVL</t>
  </si>
  <si>
    <t>/RRS.S2464.Gunit.M20 G1.AVL</t>
  </si>
  <si>
    <t>/RRS.S2464.Gunit.M21 G1.AVL</t>
  </si>
  <si>
    <t>/RRS.S2464.Gunit.M22 G1.AVL</t>
  </si>
  <si>
    <t>/RRS.S2464.Gunit.M23 G1.AVL</t>
  </si>
  <si>
    <t>/RRS.S2464.Gunit.M24 G1.AVL</t>
  </si>
  <si>
    <t>/RRS.S2464.Gunit.M25 G1.AVL</t>
  </si>
  <si>
    <t>1-4</t>
  </si>
  <si>
    <t>DNMI_65940...........T0002A3-0103</t>
  </si>
  <si>
    <t>DNMI_65940...........T0004A3-0116</t>
  </si>
  <si>
    <t>hPa</t>
  </si>
  <si>
    <t>DNMI_65940...........T0014A3-0113</t>
  </si>
  <si>
    <t>DNMI_65940...........T0015A3-0120</t>
  </si>
  <si>
    <t>DNMI_65940...........T0017A3-0114</t>
  </si>
  <si>
    <t>DNMI_69100...........T0002A3-0103</t>
  </si>
  <si>
    <t>DNMI_69100...........T0004A3-0116</t>
  </si>
  <si>
    <t>DNMI_69100...........T0014A3-0113</t>
  </si>
  <si>
    <t>DNMI_69100...........T0015A3-0120</t>
  </si>
  <si>
    <t>DNMI_69100...........T0017A3-0114</t>
  </si>
  <si>
    <t>DNMI_71550...........T0002A3-0103</t>
  </si>
  <si>
    <t>DNMI_71550...........T0004A3-0116</t>
  </si>
  <si>
    <t>DNMI_71550...........T0014A3-0113</t>
  </si>
  <si>
    <t>DNMI_71550...........T0015A3-0120</t>
  </si>
  <si>
    <t>DNMI_71550...........T0017A3-0114</t>
  </si>
  <si>
    <t>DNMI_71850...........T0002A3-0103</t>
  </si>
  <si>
    <t>DNMI_71850...........T0004A3-0116</t>
  </si>
  <si>
    <t>DNMI_71850...........T0014A3-0113</t>
  </si>
  <si>
    <t>DNMI_71850...........T0015A3-0120</t>
  </si>
  <si>
    <t>DNMI_71850...........T0017A3-0114</t>
  </si>
  <si>
    <t>DNMI_71990...........T0002A3-0103</t>
  </si>
  <si>
    <t>DNMI_71990...........T0004A3-0116</t>
  </si>
  <si>
    <t>DNMI_71990...........T0014A3-0113</t>
  </si>
  <si>
    <t>DNMI_71990...........T0015A3-0120</t>
  </si>
  <si>
    <t>DNMI_71990...........T0017A3-0114</t>
  </si>
  <si>
    <t>DNMI_72580...........T0002A3-0103</t>
  </si>
  <si>
    <t>DNMI_72580...........T0004A3-0116</t>
  </si>
  <si>
    <t>DNMI_72580...........T0014A3-0113</t>
  </si>
  <si>
    <t>DNMI_72580...........T0015A3-0120</t>
  </si>
  <si>
    <t>DNMI_72580...........T0017A3-0114</t>
  </si>
  <si>
    <t>DNMI_74350...........T0002A3-0103</t>
  </si>
  <si>
    <t>DNMI_74350...........T0004A3-0116</t>
  </si>
  <si>
    <t>DNMI_74350...........T0014A3-0113</t>
  </si>
  <si>
    <t>DNMI_74350...........T0015A3-0120</t>
  </si>
  <si>
    <t>DNMI_74350...........T0017A3-0114</t>
  </si>
  <si>
    <t>DNMI_75220...........T0002A3-0103</t>
  </si>
  <si>
    <t>DNMI_75220...........T0004A3-0116</t>
  </si>
  <si>
    <t>DNMI_75220...........T0014A3-0113</t>
  </si>
  <si>
    <t>DNMI_75220...........T0015A3-0120</t>
  </si>
  <si>
    <t>DNMI_75220...........T0017A3-0114</t>
  </si>
  <si>
    <t>DNMI_75410...........T0002A3-0103</t>
  </si>
  <si>
    <t>DNMI_75410...........T0004A3-0116</t>
  </si>
  <si>
    <t>DNMI_75410...........T0014A3-0113</t>
  </si>
  <si>
    <t>DNMI_75410...........T0015A3-0120</t>
  </si>
  <si>
    <t>DNMI_75410...........T0017A3-0114</t>
  </si>
  <si>
    <t>DNMI_75550...........T0002A3-0103</t>
  </si>
  <si>
    <t>DNMI_75550...........T0004A3-0116</t>
  </si>
  <si>
    <t>DNMI_75550...........T0014A3-0113</t>
  </si>
  <si>
    <t>DNMI_75550...........T0015A3-0120</t>
  </si>
  <si>
    <t>DNMI_75550...........T0017A3-0114</t>
  </si>
  <si>
    <t>DNMI_76240...........T0002A3-0103</t>
  </si>
  <si>
    <t>DNMI_76240...........T0004A3-0116</t>
  </si>
  <si>
    <t>DNMI_76240...........T0014A3-0113</t>
  </si>
  <si>
    <t>DNMI_76240...........T0015A3-0120</t>
  </si>
  <si>
    <t>DNMI_76240...........T0017A3-0114</t>
  </si>
  <si>
    <t>DNMI_76330...........T0002A3-0103</t>
  </si>
  <si>
    <t>DNMI_76330...........T0004A3-0116</t>
  </si>
  <si>
    <t>DNMI_76330...........T0014A3-0113</t>
  </si>
  <si>
    <t>DNMI_76330...........T0015A3-0120</t>
  </si>
  <si>
    <t>DNMI_76330...........T0017A3-0114</t>
  </si>
  <si>
    <t>DNMI_76450...........T0002A3-0103</t>
  </si>
  <si>
    <t>DNMI_76450...........T0004A3-0116</t>
  </si>
  <si>
    <t>DNMI_76450...........T0014A3-0113</t>
  </si>
  <si>
    <t>DNMI_76450...........T0015A3-0120</t>
  </si>
  <si>
    <t>DNMI_76450...........T0017A3-0114</t>
  </si>
  <si>
    <t>SULA</t>
  </si>
  <si>
    <t>VÆRNES</t>
  </si>
  <si>
    <t>ØRLAND III</t>
  </si>
  <si>
    <t>HALTEN FYR</t>
  </si>
  <si>
    <t>BUHOLMRÅSA FYR</t>
  </si>
  <si>
    <t>NAMSOS LUFTHAVN</t>
  </si>
  <si>
    <t>NAMSSKOGAN</t>
  </si>
  <si>
    <t>RØRVIK LUFTHAVN</t>
  </si>
  <si>
    <t>NORDØYAN FYR</t>
  </si>
  <si>
    <t>SKLINNA FYR</t>
  </si>
  <si>
    <t>SØMNA - KVALØYFJELLET</t>
  </si>
  <si>
    <t>BRØNNØYSUND LUFTHAVN</t>
  </si>
  <si>
    <t>VEGA - VALLSJØ</t>
  </si>
  <si>
    <t>Elevation</t>
  </si>
  <si>
    <t>Air pressure</t>
  </si>
  <si>
    <t>Air temperature</t>
  </si>
  <si>
    <t>Relative moisture</t>
  </si>
  <si>
    <t>%</t>
  </si>
  <si>
    <t>Station</t>
  </si>
  <si>
    <t>Station number</t>
  </si>
  <si>
    <t>OBJECTID *</t>
  </si>
  <si>
    <t>X</t>
  </si>
  <si>
    <t>Y</t>
  </si>
  <si>
    <t>dem10_fosen3</t>
  </si>
  <si>
    <t>NAVN</t>
  </si>
  <si>
    <t>Anlegg</t>
  </si>
  <si>
    <t>BESKRIVELSE</t>
  </si>
  <si>
    <t>&lt;Null&gt;</t>
  </si>
  <si>
    <t>No. 5</t>
  </si>
  <si>
    <t>BESSAKERFJELLET</t>
  </si>
  <si>
    <t>Vindturbin</t>
  </si>
  <si>
    <t>No. 6</t>
  </si>
  <si>
    <t>No. 7</t>
  </si>
  <si>
    <t>No. 4</t>
  </si>
  <si>
    <t>No. 3</t>
  </si>
  <si>
    <t>No. 1</t>
  </si>
  <si>
    <t>No. 2</t>
  </si>
  <si>
    <t>No. 12</t>
  </si>
  <si>
    <t>No. 11</t>
  </si>
  <si>
    <t>No. 25</t>
  </si>
  <si>
    <t>No. 10</t>
  </si>
  <si>
    <t>No. 24</t>
  </si>
  <si>
    <t>No. 9</t>
  </si>
  <si>
    <t>No. 8</t>
  </si>
  <si>
    <t>No. 13</t>
  </si>
  <si>
    <t>No. 23</t>
  </si>
  <si>
    <t>No. 22</t>
  </si>
  <si>
    <t>No. 14</t>
  </si>
  <si>
    <t>No. 15</t>
  </si>
  <si>
    <t>No. 21</t>
  </si>
  <si>
    <t>S02</t>
  </si>
  <si>
    <t>SKO VINDTURBIN 2</t>
  </si>
  <si>
    <t>S01</t>
  </si>
  <si>
    <t>SKO VINDTURBIN 1</t>
  </si>
  <si>
    <t>No. 16</t>
  </si>
  <si>
    <t>No. 20</t>
  </si>
  <si>
    <t>No. 19</t>
  </si>
  <si>
    <t>S03</t>
  </si>
  <si>
    <t>SKO VINDTURBIN 3</t>
  </si>
  <si>
    <t>No. 17</t>
  </si>
  <si>
    <t>No. 18</t>
  </si>
  <si>
    <t>S04</t>
  </si>
  <si>
    <t>SKO VINDTURBIN 4</t>
  </si>
  <si>
    <t>VALSNESET</t>
  </si>
  <si>
    <t>Scheduled and delivered power is 2.5% lower than the sum of turbine production, due to transmission losses</t>
  </si>
  <si>
    <t>Scheduled and delivered power is higher than the sum of turbine production. This must be due to poor calibration of turbine production. The delivered power is excact (since it it a fiscal measurement)</t>
  </si>
  <si>
    <t>/STORM-YVik1-Vindhast-25km</t>
  </si>
  <si>
    <t>/STORM-YVik1-Vindretn-25km</t>
  </si>
  <si>
    <t>NORDOYAN FYR</t>
  </si>
  <si>
    <t>SOMNA - KVALOYFJELLET</t>
  </si>
  <si>
    <t>BRONNOYSUND LUFTHAVN</t>
  </si>
  <si>
    <t>VEGA - VALLSJO</t>
  </si>
  <si>
    <t>Ytre Vikna center</t>
  </si>
  <si>
    <t>Skomakerfjellet center</t>
  </si>
  <si>
    <t>6276_0782</t>
  </si>
  <si>
    <t>arome brukt i ytrevikna-studie</t>
  </si>
  <si>
    <t>6280_0870</t>
  </si>
  <si>
    <t>6283_0958</t>
  </si>
  <si>
    <t>6287_1051</t>
  </si>
  <si>
    <t>6323_1231</t>
  </si>
  <si>
    <t>6323_1141</t>
  </si>
  <si>
    <t>6323_1051</t>
  </si>
  <si>
    <t>6322_0961</t>
  </si>
  <si>
    <t>6323_0870</t>
  </si>
  <si>
    <t>6323_0780</t>
  </si>
  <si>
    <t>6342_1088</t>
  </si>
  <si>
    <t>6342_1098</t>
  </si>
  <si>
    <t>6347_1092</t>
  </si>
  <si>
    <t>6349_1087</t>
  </si>
  <si>
    <t>6349_1097</t>
  </si>
  <si>
    <t>6372_1231</t>
  </si>
  <si>
    <t>6367_0957</t>
  </si>
  <si>
    <t>6367_0967</t>
  </si>
  <si>
    <t>6373_1139</t>
  </si>
  <si>
    <t>6372_1053</t>
  </si>
  <si>
    <t>6372_0961</t>
  </si>
  <si>
    <t>6374_0956</t>
  </si>
  <si>
    <t>6374_0966</t>
  </si>
  <si>
    <t>6372_0869</t>
  </si>
  <si>
    <t>6378_0955</t>
  </si>
  <si>
    <t>6379_0970</t>
  </si>
  <si>
    <t>6373_0782</t>
  </si>
  <si>
    <t>6383_0964</t>
  </si>
  <si>
    <t>6380_0842</t>
  </si>
  <si>
    <t>6381_0852</t>
  </si>
  <si>
    <t>6385_0969</t>
  </si>
  <si>
    <t>6387_0958</t>
  </si>
  <si>
    <t>6385_0846</t>
  </si>
  <si>
    <t>6387_0851</t>
  </si>
  <si>
    <t>6389_0840</t>
  </si>
  <si>
    <t>6413_0933</t>
  </si>
  <si>
    <t>6414_0948</t>
  </si>
  <si>
    <t>6417_1035</t>
  </si>
  <si>
    <t>6417_1041</t>
  </si>
  <si>
    <t>6417_1046</t>
  </si>
  <si>
    <t>6422_1231</t>
  </si>
  <si>
    <t>6419_1030</t>
  </si>
  <si>
    <t>6422_1143</t>
  </si>
  <si>
    <t>6418_0942</t>
  </si>
  <si>
    <t>6421_1035</t>
  </si>
  <si>
    <t>6422_1040</t>
  </si>
  <si>
    <t>6422_1050</t>
  </si>
  <si>
    <t>6421_0947</t>
  </si>
  <si>
    <t>6422_0936</t>
  </si>
  <si>
    <t>6423_0962</t>
  </si>
  <si>
    <t>6426_1029</t>
  </si>
  <si>
    <t>6426_1034</t>
  </si>
  <si>
    <t>6426_1044</t>
  </si>
  <si>
    <t>6426_1049</t>
  </si>
  <si>
    <t>6422_0869</t>
  </si>
  <si>
    <t>6422_0780</t>
  </si>
  <si>
    <t>6435_1038</t>
  </si>
  <si>
    <t>6436_1053</t>
  </si>
  <si>
    <t>6425_0696</t>
  </si>
  <si>
    <t>6440_1047</t>
  </si>
  <si>
    <t>6443_1151</t>
  </si>
  <si>
    <t>6443_1161</t>
  </si>
  <si>
    <t>6444_1041</t>
  </si>
  <si>
    <t>6444_1052</t>
  </si>
  <si>
    <t>6447_1156</t>
  </si>
  <si>
    <t>6450_1161</t>
  </si>
  <si>
    <t>6452_1150</t>
  </si>
  <si>
    <t>6472_1142</t>
  </si>
  <si>
    <t>6474_1232</t>
  </si>
  <si>
    <t>6474_1052</t>
  </si>
  <si>
    <t>6473_0963</t>
  </si>
  <si>
    <t>6476_1047</t>
  </si>
  <si>
    <t>6476_1062</t>
  </si>
  <si>
    <t>6480_1109</t>
  </si>
  <si>
    <t>6480_1120</t>
  </si>
  <si>
    <t>6474_0872</t>
  </si>
  <si>
    <t>6481_1056</t>
  </si>
  <si>
    <t>6482_1114</t>
  </si>
  <si>
    <t>6472_0783</t>
  </si>
  <si>
    <t>6483_1061</t>
  </si>
  <si>
    <t>6485_1050</t>
  </si>
  <si>
    <t>6486_1082</t>
  </si>
  <si>
    <t>6486_1093</t>
  </si>
  <si>
    <t>6487_1108</t>
  </si>
  <si>
    <t>6487_1119</t>
  </si>
  <si>
    <t>6472_0693</t>
  </si>
  <si>
    <t>6491_1087</t>
  </si>
  <si>
    <t>6495_1081</t>
  </si>
  <si>
    <t>6495_1096</t>
  </si>
  <si>
    <t>6515_1093</t>
  </si>
  <si>
    <t>6516_1104</t>
  </si>
  <si>
    <t>6518_1195</t>
  </si>
  <si>
    <t>6518_1206</t>
  </si>
  <si>
    <t>6520_1098</t>
  </si>
  <si>
    <t>6522_1200</t>
  </si>
  <si>
    <t>6523_1232</t>
  </si>
  <si>
    <t>6523_1141</t>
  </si>
  <si>
    <t>6523_1049</t>
  </si>
  <si>
    <t>6524_1092</t>
  </si>
  <si>
    <t>6525_1108</t>
  </si>
  <si>
    <t>6527_1194</t>
  </si>
  <si>
    <t>6527_1205</t>
  </si>
  <si>
    <t>6523_0963</t>
  </si>
  <si>
    <t>6522_0872</t>
  </si>
  <si>
    <t>6522_0780</t>
  </si>
  <si>
    <t>6522_0689</t>
  </si>
  <si>
    <t>6541_1214</t>
  </si>
  <si>
    <t>6541_1230</t>
  </si>
  <si>
    <t>6545_1224</t>
  </si>
  <si>
    <t>6550_1218</t>
  </si>
  <si>
    <t>6550_1229</t>
  </si>
  <si>
    <t>6565_1179</t>
  </si>
  <si>
    <t>6565_1190</t>
  </si>
  <si>
    <t>6569_1184</t>
  </si>
  <si>
    <t>6558_0781</t>
  </si>
  <si>
    <t>6562_0873</t>
  </si>
  <si>
    <t>6565_0960</t>
  </si>
  <si>
    <t>6568_1053</t>
  </si>
  <si>
    <t>6571_1140</t>
  </si>
  <si>
    <t>6571_1178</t>
  </si>
  <si>
    <t>6572_1194</t>
  </si>
  <si>
    <t>6573_1232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</si>
</sst>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00"/>
    <numFmt numFmtId="165" formatCode="0.0000"/>
    <numFmt numFmtId="166" formatCode="0.000"/>
    <numFmt numFmtId="167" formatCode="0.0"/>
    <numFmt numFmtId="168" formatCode="\c\a\.\ 0.0000"/>
    <numFmt numFmtId="169" formatCode="dd/mm/yyyy;@"/>
    <numFmt numFmtId="170" formatCode="#,##0.000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3F3F3F"/>
      <name val="sym"/>
    </font>
    <font>
      <b/>
      <sz val="18"/>
      <color theme="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rgb="FF3F3F76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549E"/>
        <bgColor indexed="64"/>
      </patternFill>
    </fill>
    <fill>
      <patternFill patternType="solid">
        <fgColor rgb="FF007DED"/>
        <bgColor indexed="64"/>
      </patternFill>
    </fill>
    <fill>
      <patternFill patternType="solid">
        <fgColor rgb="FFA0CBED"/>
        <bgColor indexed="64"/>
      </patternFill>
    </fill>
    <fill>
      <patternFill patternType="solid">
        <fgColor rgb="FF7581BF"/>
        <bgColor indexed="64"/>
      </patternFill>
    </fill>
    <fill>
      <patternFill patternType="solid">
        <fgColor rgb="FFB2BB1E"/>
        <bgColor indexed="64"/>
      </patternFill>
    </fill>
    <fill>
      <patternFill patternType="solid">
        <fgColor rgb="FF4D917B"/>
        <bgColor indexed="64"/>
      </patternFill>
    </fill>
    <fill>
      <patternFill patternType="solid">
        <fgColor rgb="FF9DC9BA"/>
        <bgColor indexed="64"/>
      </patternFill>
    </fill>
    <fill>
      <patternFill patternType="solid">
        <fgColor rgb="FF887E6E"/>
        <bgColor indexed="64"/>
      </patternFill>
    </fill>
    <fill>
      <patternFill patternType="solid">
        <fgColor rgb="FF9C8DC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3" fillId="33" borderId="10">
      <alignment horizontal="center" vertical="center"/>
    </xf>
    <xf numFmtId="0" fontId="13" fillId="34" borderId="10">
      <alignment horizontal="center" vertical="center"/>
    </xf>
    <xf numFmtId="0" fontId="13" fillId="35" borderId="10">
      <alignment horizontal="center" vertical="center"/>
    </xf>
    <xf numFmtId="0" fontId="13" fillId="36" borderId="10">
      <alignment horizontal="center" vertical="center"/>
    </xf>
    <xf numFmtId="0" fontId="13" fillId="37" borderId="10">
      <alignment horizontal="center" vertical="center"/>
    </xf>
    <xf numFmtId="0" fontId="13" fillId="38" borderId="10">
      <alignment horizontal="center" vertical="center"/>
    </xf>
    <xf numFmtId="0" fontId="13" fillId="39" borderId="10">
      <alignment horizontal="center" vertical="center"/>
    </xf>
    <xf numFmtId="0" fontId="13" fillId="40" borderId="10">
      <alignment horizontal="center" vertical="center" shrinkToFit="1"/>
    </xf>
    <xf numFmtId="0" fontId="13" fillId="41" borderId="10">
      <alignment horizontal="center" vertical="center" shrinkToFit="1"/>
    </xf>
  </cellStyleXfs>
  <cellXfs count="159">
    <xf numFmtId="0" fontId="0" fillId="0" borderId="0" xfId="0"/>
    <xf numFmtId="0" fontId="9" fillId="5" borderId="14" xfId="9" applyBorder="1" applyAlignment="1">
      <alignment horizontal="center"/>
    </xf>
    <xf numFmtId="0" fontId="9" fillId="5" borderId="14" xfId="9" applyBorder="1"/>
    <xf numFmtId="0" fontId="10" fillId="6" borderId="15" xfId="10" applyBorder="1" applyAlignment="1">
      <alignment horizontal="center"/>
    </xf>
    <xf numFmtId="0" fontId="9" fillId="5" borderId="17" xfId="9" applyBorder="1" applyAlignment="1">
      <alignment horizontal="center"/>
    </xf>
    <xf numFmtId="0" fontId="9" fillId="5" borderId="18" xfId="9" applyBorder="1" applyAlignment="1">
      <alignment horizontal="center"/>
    </xf>
    <xf numFmtId="0" fontId="9" fillId="5" borderId="4" xfId="9" applyBorder="1" applyAlignment="1">
      <alignment horizontal="center"/>
    </xf>
    <xf numFmtId="0" fontId="9" fillId="5" borderId="20" xfId="9" applyBorder="1" applyAlignment="1">
      <alignment horizontal="center"/>
    </xf>
    <xf numFmtId="0" fontId="9" fillId="5" borderId="22" xfId="9" applyBorder="1" applyAlignment="1">
      <alignment horizontal="center"/>
    </xf>
    <xf numFmtId="0" fontId="9" fillId="5" borderId="23" xfId="9" applyBorder="1" applyAlignment="1">
      <alignment horizontal="center"/>
    </xf>
    <xf numFmtId="0" fontId="9" fillId="5" borderId="16" xfId="9" applyBorder="1"/>
    <xf numFmtId="0" fontId="9" fillId="5" borderId="17" xfId="9" applyBorder="1"/>
    <xf numFmtId="0" fontId="9" fillId="5" borderId="19" xfId="9" applyBorder="1"/>
    <xf numFmtId="0" fontId="9" fillId="5" borderId="4" xfId="9" applyBorder="1"/>
    <xf numFmtId="0" fontId="9" fillId="5" borderId="21" xfId="9" applyBorder="1"/>
    <xf numFmtId="0" fontId="9" fillId="5" borderId="22" xfId="9" applyBorder="1"/>
    <xf numFmtId="165" fontId="9" fillId="5" borderId="17" xfId="9" applyNumberFormat="1" applyBorder="1" applyAlignment="1">
      <alignment horizontal="center"/>
    </xf>
    <xf numFmtId="165" fontId="9" fillId="5" borderId="4" xfId="9" applyNumberFormat="1" applyBorder="1" applyAlignment="1">
      <alignment horizontal="center"/>
    </xf>
    <xf numFmtId="0" fontId="9" fillId="5" borderId="24" xfId="9" applyBorder="1" applyAlignment="1">
      <alignment horizontal="center"/>
    </xf>
    <xf numFmtId="0" fontId="9" fillId="5" borderId="25" xfId="9" applyBorder="1"/>
    <xf numFmtId="0" fontId="13" fillId="35" borderId="10" xfId="44" applyBorder="1">
      <alignment horizontal="center" vertical="center"/>
    </xf>
    <xf numFmtId="0" fontId="13" fillId="35" borderId="10" xfId="44" applyBorder="1" applyAlignment="1">
      <alignment horizontal="center" vertical="center" wrapText="1"/>
    </xf>
    <xf numFmtId="0" fontId="10" fillId="6" borderId="28" xfId="10" applyBorder="1" applyAlignment="1">
      <alignment horizontal="center"/>
    </xf>
    <xf numFmtId="0" fontId="10" fillId="6" borderId="29" xfId="10" applyBorder="1" applyAlignment="1">
      <alignment horizontal="center"/>
    </xf>
    <xf numFmtId="166" fontId="9" fillId="5" borderId="4" xfId="9" applyNumberFormat="1" applyBorder="1" applyAlignment="1">
      <alignment horizontal="center"/>
    </xf>
    <xf numFmtId="167" fontId="9" fillId="5" borderId="4" xfId="9" applyNumberFormat="1" applyBorder="1" applyAlignment="1">
      <alignment horizontal="center"/>
    </xf>
    <xf numFmtId="164" fontId="9" fillId="5" borderId="14" xfId="9" applyNumberFormat="1" applyBorder="1" applyAlignment="1">
      <alignment horizontal="center"/>
    </xf>
    <xf numFmtId="164" fontId="9" fillId="5" borderId="20" xfId="9" applyNumberFormat="1" applyBorder="1" applyAlignment="1">
      <alignment horizontal="center"/>
    </xf>
    <xf numFmtId="166" fontId="0" fillId="0" borderId="0" xfId="0" applyNumberFormat="1"/>
    <xf numFmtId="167" fontId="9" fillId="5" borderId="22" xfId="9" applyNumberFormat="1" applyBorder="1" applyAlignment="1">
      <alignment horizontal="center"/>
    </xf>
    <xf numFmtId="164" fontId="9" fillId="5" borderId="23" xfId="9" applyNumberFormat="1" applyBorder="1" applyAlignment="1">
      <alignment horizontal="center"/>
    </xf>
    <xf numFmtId="0" fontId="13" fillId="34" borderId="10" xfId="43">
      <alignment horizontal="center" vertical="center"/>
    </xf>
    <xf numFmtId="0" fontId="9" fillId="5" borderId="30" xfId="9" applyBorder="1" applyAlignment="1">
      <alignment horizontal="center"/>
    </xf>
    <xf numFmtId="0" fontId="9" fillId="5" borderId="31" xfId="9" applyBorder="1" applyAlignment="1">
      <alignment horizontal="center"/>
    </xf>
    <xf numFmtId="0" fontId="9" fillId="5" borderId="32" xfId="9" applyBorder="1" applyAlignment="1">
      <alignment horizontal="center"/>
    </xf>
    <xf numFmtId="168" fontId="9" fillId="5" borderId="4" xfId="9" applyNumberFormat="1" applyBorder="1" applyAlignment="1">
      <alignment horizontal="center"/>
    </xf>
    <xf numFmtId="14" fontId="9" fillId="5" borderId="31" xfId="9" applyNumberFormat="1" applyBorder="1" applyAlignment="1">
      <alignment horizontal="center"/>
    </xf>
    <xf numFmtId="169" fontId="9" fillId="5" borderId="31" xfId="9" applyNumberFormat="1" applyBorder="1" applyAlignment="1">
      <alignment horizontal="center"/>
    </xf>
    <xf numFmtId="4" fontId="9" fillId="5" borderId="31" xfId="9" applyNumberFormat="1" applyBorder="1" applyAlignment="1">
      <alignment horizontal="center"/>
    </xf>
    <xf numFmtId="3" fontId="9" fillId="5" borderId="31" xfId="9" applyNumberFormat="1" applyBorder="1" applyAlignment="1">
      <alignment horizontal="center"/>
    </xf>
    <xf numFmtId="0" fontId="9" fillId="5" borderId="30" xfId="9" applyBorder="1" applyAlignment="1">
      <alignment horizontal="left"/>
    </xf>
    <xf numFmtId="0" fontId="9" fillId="5" borderId="31" xfId="9" applyBorder="1" applyAlignment="1">
      <alignment horizontal="left"/>
    </xf>
    <xf numFmtId="0" fontId="9" fillId="5" borderId="32" xfId="9" applyBorder="1" applyAlignment="1">
      <alignment horizontal="left"/>
    </xf>
    <xf numFmtId="0" fontId="10" fillId="6" borderId="46" xfId="10" applyBorder="1" applyAlignment="1">
      <alignment horizontal="center"/>
    </xf>
    <xf numFmtId="1" fontId="9" fillId="5" borderId="32" xfId="9" applyNumberFormat="1" applyBorder="1" applyAlignment="1">
      <alignment horizontal="center"/>
    </xf>
    <xf numFmtId="1" fontId="9" fillId="5" borderId="17" xfId="9" applyNumberFormat="1" applyBorder="1" applyAlignment="1">
      <alignment horizontal="center"/>
    </xf>
    <xf numFmtId="165" fontId="9" fillId="5" borderId="22" xfId="9" applyNumberFormat="1" applyBorder="1" applyAlignment="1">
      <alignment horizontal="center"/>
    </xf>
    <xf numFmtId="170" fontId="9" fillId="5" borderId="14" xfId="9" applyNumberFormat="1" applyBorder="1"/>
    <xf numFmtId="170" fontId="9" fillId="5" borderId="4" xfId="9" applyNumberFormat="1" applyBorder="1" applyAlignment="1">
      <alignment horizontal="center"/>
    </xf>
    <xf numFmtId="170" fontId="9" fillId="5" borderId="14" xfId="9" applyNumberFormat="1" applyBorder="1" applyAlignment="1">
      <alignment horizontal="center"/>
    </xf>
    <xf numFmtId="165" fontId="9" fillId="5" borderId="30" xfId="9" applyNumberFormat="1" applyBorder="1" applyAlignment="1">
      <alignment horizontal="center"/>
    </xf>
    <xf numFmtId="170" fontId="9" fillId="5" borderId="31" xfId="9" applyNumberFormat="1" applyBorder="1" applyAlignment="1">
      <alignment horizontal="center"/>
    </xf>
    <xf numFmtId="0" fontId="13" fillId="34" borderId="10" xfId="43" applyBorder="1">
      <alignment horizontal="center" vertical="center"/>
    </xf>
    <xf numFmtId="3" fontId="9" fillId="5" borderId="32" xfId="9" applyNumberFormat="1" applyBorder="1" applyAlignment="1">
      <alignment horizontal="center"/>
    </xf>
    <xf numFmtId="0" fontId="9" fillId="5" borderId="16" xfId="9" applyBorder="1" applyAlignment="1">
      <alignment horizontal="center"/>
    </xf>
    <xf numFmtId="0" fontId="9" fillId="5" borderId="19" xfId="9" applyBorder="1" applyAlignment="1">
      <alignment horizontal="center"/>
    </xf>
    <xf numFmtId="0" fontId="9" fillId="5" borderId="21" xfId="9" applyBorder="1" applyAlignment="1">
      <alignment horizontal="center"/>
    </xf>
    <xf numFmtId="0" fontId="20" fillId="34" borderId="40" xfId="43" applyFont="1" applyBorder="1" applyAlignment="1">
      <alignment horizontal="center" vertical="center"/>
    </xf>
    <xf numFmtId="0" fontId="20" fillId="34" borderId="41" xfId="43" applyFont="1" applyBorder="1" applyAlignment="1">
      <alignment horizontal="center" vertical="center"/>
    </xf>
    <xf numFmtId="0" fontId="20" fillId="34" borderId="42" xfId="43" applyFont="1" applyBorder="1" applyAlignment="1">
      <alignment horizontal="center" vertical="center"/>
    </xf>
    <xf numFmtId="0" fontId="20" fillId="34" borderId="26" xfId="43" applyFont="1" applyBorder="1" applyAlignment="1">
      <alignment horizontal="center" vertical="center"/>
    </xf>
    <xf numFmtId="0" fontId="20" fillId="34" borderId="27" xfId="43" applyFont="1" applyBorder="1" applyAlignment="1">
      <alignment horizontal="center" vertical="center"/>
    </xf>
    <xf numFmtId="0" fontId="20" fillId="34" borderId="43" xfId="43" applyFont="1" applyBorder="1" applyAlignment="1">
      <alignment horizontal="center" vertical="center"/>
    </xf>
    <xf numFmtId="164" fontId="9" fillId="5" borderId="20" xfId="9" applyNumberFormat="1" applyBorder="1" applyAlignment="1">
      <alignment horizontal="left"/>
    </xf>
    <xf numFmtId="164" fontId="9" fillId="5" borderId="23" xfId="9" applyNumberFormat="1" applyBorder="1" applyAlignment="1">
      <alignment horizontal="left"/>
    </xf>
    <xf numFmtId="0" fontId="9" fillId="5" borderId="47" xfId="9" applyBorder="1"/>
    <xf numFmtId="0" fontId="9" fillId="5" borderId="48" xfId="9" applyBorder="1" applyAlignment="1">
      <alignment horizontal="center"/>
    </xf>
    <xf numFmtId="166" fontId="9" fillId="5" borderId="48" xfId="9" applyNumberFormat="1" applyBorder="1" applyAlignment="1">
      <alignment horizontal="center"/>
    </xf>
    <xf numFmtId="167" fontId="9" fillId="5" borderId="48" xfId="9" applyNumberFormat="1" applyBorder="1" applyAlignment="1">
      <alignment horizontal="center"/>
    </xf>
    <xf numFmtId="164" fontId="9" fillId="5" borderId="49" xfId="9" applyNumberFormat="1" applyBorder="1" applyAlignment="1">
      <alignment horizontal="center"/>
    </xf>
    <xf numFmtId="164" fontId="9" fillId="5" borderId="50" xfId="9" applyNumberFormat="1" applyBorder="1" applyAlignment="1">
      <alignment horizontal="center"/>
    </xf>
    <xf numFmtId="0" fontId="13" fillId="35" borderId="13" xfId="44" applyBorder="1" applyAlignment="1">
      <alignment horizontal="center" vertical="center" wrapText="1"/>
    </xf>
    <xf numFmtId="0" fontId="10" fillId="6" borderId="51" xfId="10" applyBorder="1" applyAlignment="1">
      <alignment horizontal="center"/>
    </xf>
    <xf numFmtId="0" fontId="1" fillId="42" borderId="0" xfId="9" applyFont="1" applyFill="1" applyBorder="1"/>
    <xf numFmtId="0" fontId="1" fillId="42" borderId="0" xfId="9" applyFont="1" applyFill="1" applyBorder="1" applyAlignment="1">
      <alignment horizontal="center"/>
    </xf>
    <xf numFmtId="166" fontId="1" fillId="42" borderId="0" xfId="9" applyNumberFormat="1" applyFont="1" applyFill="1" applyBorder="1" applyAlignment="1">
      <alignment horizontal="center"/>
    </xf>
    <xf numFmtId="167" fontId="1" fillId="42" borderId="0" xfId="9" applyNumberFormat="1" applyFont="1" applyFill="1" applyBorder="1" applyAlignment="1">
      <alignment horizontal="center"/>
    </xf>
    <xf numFmtId="164" fontId="1" fillId="42" borderId="0" xfId="9" applyNumberFormat="1" applyFont="1" applyFill="1" applyBorder="1" applyAlignment="1">
      <alignment horizontal="center"/>
    </xf>
    <xf numFmtId="0" fontId="13" fillId="35" borderId="11" xfId="44" applyBorder="1">
      <alignment horizontal="center" vertical="center"/>
    </xf>
    <xf numFmtId="0" fontId="13" fillId="35" borderId="11" xfId="44" applyBorder="1" applyAlignment="1">
      <alignment horizontal="center" vertical="center" wrapText="1"/>
    </xf>
    <xf numFmtId="0" fontId="9" fillId="5" borderId="19" xfId="9" applyBorder="1" applyAlignment="1">
      <alignment vertical="top"/>
    </xf>
    <xf numFmtId="0" fontId="9" fillId="5" borderId="19" xfId="9" applyBorder="1" applyAlignment="1">
      <alignment vertical="top" wrapText="1"/>
    </xf>
    <xf numFmtId="0" fontId="9" fillId="5" borderId="56" xfId="9" applyBorder="1" applyAlignment="1">
      <alignment vertical="top" wrapText="1"/>
    </xf>
    <xf numFmtId="0" fontId="9" fillId="5" borderId="56" xfId="9" applyBorder="1" applyAlignment="1">
      <alignment vertical="top"/>
    </xf>
    <xf numFmtId="0" fontId="9" fillId="5" borderId="54" xfId="9" applyBorder="1" applyAlignment="1">
      <alignment vertical="top" wrapText="1"/>
    </xf>
    <xf numFmtId="0" fontId="9" fillId="5" borderId="55" xfId="9" applyBorder="1" applyAlignment="1">
      <alignment vertical="top" wrapText="1"/>
    </xf>
    <xf numFmtId="0" fontId="9" fillId="5" borderId="16" xfId="9" applyBorder="1" applyAlignment="1">
      <alignment vertical="top" wrapText="1"/>
    </xf>
    <xf numFmtId="0" fontId="9" fillId="5" borderId="52" xfId="9" applyBorder="1" applyAlignment="1">
      <alignment vertical="top" wrapText="1"/>
    </xf>
    <xf numFmtId="0" fontId="9" fillId="5" borderId="54" xfId="9" applyBorder="1" applyAlignment="1">
      <alignment horizontal="center" vertical="center" wrapText="1"/>
    </xf>
    <xf numFmtId="0" fontId="9" fillId="5" borderId="55" xfId="9" applyBorder="1" applyAlignment="1">
      <alignment horizontal="center" vertical="center" wrapText="1"/>
    </xf>
    <xf numFmtId="0" fontId="9" fillId="5" borderId="56" xfId="9" applyBorder="1" applyAlignment="1">
      <alignment horizontal="center" vertical="center"/>
    </xf>
    <xf numFmtId="49" fontId="9" fillId="5" borderId="17" xfId="9" quotePrefix="1" applyNumberFormat="1" applyBorder="1" applyAlignment="1">
      <alignment horizontal="center" vertical="center"/>
    </xf>
    <xf numFmtId="0" fontId="9" fillId="5" borderId="17" xfId="9" applyBorder="1" applyAlignment="1">
      <alignment horizontal="center" vertical="center"/>
    </xf>
    <xf numFmtId="49" fontId="9" fillId="5" borderId="53" xfId="9" quotePrefix="1" applyNumberFormat="1" applyBorder="1" applyAlignment="1">
      <alignment horizontal="center" vertical="center"/>
    </xf>
    <xf numFmtId="0" fontId="9" fillId="5" borderId="53" xfId="9" applyBorder="1" applyAlignment="1">
      <alignment horizontal="center" vertical="center"/>
    </xf>
    <xf numFmtId="0" fontId="9" fillId="5" borderId="4" xfId="9" applyBorder="1" applyAlignment="1">
      <alignment horizontal="center" vertical="center"/>
    </xf>
    <xf numFmtId="0" fontId="9" fillId="43" borderId="19" xfId="9" applyFill="1" applyBorder="1" applyAlignment="1">
      <alignment vertical="top" wrapText="1"/>
    </xf>
    <xf numFmtId="0" fontId="9" fillId="43" borderId="56" xfId="9" applyFill="1" applyBorder="1" applyAlignment="1">
      <alignment vertical="top" wrapText="1"/>
    </xf>
    <xf numFmtId="0" fontId="9" fillId="43" borderId="55" xfId="9" applyFill="1" applyBorder="1" applyAlignment="1">
      <alignment horizontal="center" vertical="center" wrapText="1"/>
    </xf>
    <xf numFmtId="49" fontId="9" fillId="43" borderId="53" xfId="9" quotePrefix="1" applyNumberFormat="1" applyFill="1" applyBorder="1" applyAlignment="1">
      <alignment horizontal="center" vertical="center"/>
    </xf>
    <xf numFmtId="0" fontId="9" fillId="43" borderId="4" xfId="9" applyFill="1" applyBorder="1" applyAlignment="1">
      <alignment horizontal="center" vertical="center"/>
    </xf>
    <xf numFmtId="164" fontId="0" fillId="0" borderId="0" xfId="0" applyNumberFormat="1"/>
    <xf numFmtId="166" fontId="9" fillId="5" borderId="22" xfId="9" applyNumberFormat="1" applyBorder="1" applyAlignment="1">
      <alignment horizontal="center"/>
    </xf>
    <xf numFmtId="164" fontId="9" fillId="5" borderId="25" xfId="9" applyNumberFormat="1" applyBorder="1" applyAlignment="1">
      <alignment horizontal="center"/>
    </xf>
    <xf numFmtId="0" fontId="9" fillId="5" borderId="52" xfId="9" applyBorder="1"/>
    <xf numFmtId="0" fontId="9" fillId="5" borderId="53" xfId="9" applyBorder="1"/>
    <xf numFmtId="165" fontId="9" fillId="5" borderId="53" xfId="9" applyNumberFormat="1" applyBorder="1" applyAlignment="1">
      <alignment horizontal="center"/>
    </xf>
    <xf numFmtId="1" fontId="9" fillId="5" borderId="53" xfId="9" applyNumberFormat="1" applyBorder="1" applyAlignment="1">
      <alignment horizontal="center"/>
    </xf>
    <xf numFmtId="0" fontId="9" fillId="5" borderId="57" xfId="9" applyBorder="1" applyAlignment="1">
      <alignment horizontal="center"/>
    </xf>
    <xf numFmtId="0" fontId="9" fillId="5" borderId="58" xfId="9" applyBorder="1" applyAlignment="1">
      <alignment horizontal="center"/>
    </xf>
    <xf numFmtId="166" fontId="9" fillId="5" borderId="58" xfId="9" applyNumberFormat="1" applyBorder="1" applyAlignment="1">
      <alignment horizontal="center"/>
    </xf>
    <xf numFmtId="167" fontId="9" fillId="5" borderId="58" xfId="9" applyNumberFormat="1" applyBorder="1" applyAlignment="1">
      <alignment horizontal="center"/>
    </xf>
    <xf numFmtId="164" fontId="9" fillId="5" borderId="58" xfId="9" applyNumberFormat="1" applyBorder="1" applyAlignment="1">
      <alignment horizontal="center"/>
    </xf>
    <xf numFmtId="1" fontId="9" fillId="5" borderId="58" xfId="9" applyNumberFormat="1" applyBorder="1" applyAlignment="1">
      <alignment horizontal="center"/>
    </xf>
    <xf numFmtId="0" fontId="9" fillId="5" borderId="59" xfId="9" applyBorder="1"/>
    <xf numFmtId="0" fontId="9" fillId="5" borderId="60" xfId="9" applyBorder="1" applyAlignment="1">
      <alignment horizontal="center"/>
    </xf>
    <xf numFmtId="166" fontId="9" fillId="5" borderId="60" xfId="9" applyNumberFormat="1" applyBorder="1" applyAlignment="1">
      <alignment horizontal="center"/>
    </xf>
    <xf numFmtId="167" fontId="9" fillId="5" borderId="60" xfId="9" applyNumberFormat="1" applyBorder="1" applyAlignment="1">
      <alignment horizontal="center"/>
    </xf>
    <xf numFmtId="164" fontId="9" fillId="5" borderId="60" xfId="9" applyNumberFormat="1" applyBorder="1" applyAlignment="1">
      <alignment horizontal="center"/>
    </xf>
    <xf numFmtId="164" fontId="9" fillId="5" borderId="61" xfId="9" applyNumberFormat="1" applyBorder="1" applyAlignment="1">
      <alignment horizontal="center"/>
    </xf>
    <xf numFmtId="0" fontId="9" fillId="5" borderId="62" xfId="9" applyBorder="1"/>
    <xf numFmtId="164" fontId="9" fillId="5" borderId="63" xfId="9" applyNumberFormat="1" applyBorder="1" applyAlignment="1">
      <alignment horizontal="center"/>
    </xf>
    <xf numFmtId="0" fontId="9" fillId="5" borderId="64" xfId="9" applyBorder="1"/>
    <xf numFmtId="0" fontId="9" fillId="5" borderId="65" xfId="9" applyBorder="1" applyAlignment="1">
      <alignment horizontal="center"/>
    </xf>
    <xf numFmtId="166" fontId="9" fillId="5" borderId="65" xfId="9" applyNumberFormat="1" applyBorder="1" applyAlignment="1">
      <alignment horizontal="center"/>
    </xf>
    <xf numFmtId="167" fontId="9" fillId="5" borderId="65" xfId="9" applyNumberFormat="1" applyBorder="1" applyAlignment="1">
      <alignment horizontal="center"/>
    </xf>
    <xf numFmtId="1" fontId="9" fillId="5" borderId="65" xfId="9" applyNumberFormat="1" applyBorder="1" applyAlignment="1">
      <alignment horizontal="center"/>
    </xf>
    <xf numFmtId="164" fontId="9" fillId="5" borderId="65" xfId="9" applyNumberFormat="1" applyBorder="1" applyAlignment="1">
      <alignment horizontal="center"/>
    </xf>
    <xf numFmtId="164" fontId="9" fillId="5" borderId="66" xfId="9" applyNumberFormat="1" applyBorder="1" applyAlignment="1">
      <alignment horizontal="center"/>
    </xf>
    <xf numFmtId="164" fontId="9" fillId="5" borderId="67" xfId="9" applyNumberFormat="1" applyBorder="1" applyAlignment="1">
      <alignment horizontal="center"/>
    </xf>
    <xf numFmtId="164" fontId="9" fillId="5" borderId="68" xfId="9" applyNumberFormat="1" applyBorder="1" applyAlignment="1">
      <alignment horizontal="left"/>
    </xf>
    <xf numFmtId="164" fontId="9" fillId="5" borderId="69" xfId="9" applyNumberFormat="1" applyBorder="1" applyAlignment="1">
      <alignment horizontal="left"/>
    </xf>
    <xf numFmtId="22" fontId="0" fillId="0" borderId="0" xfId="0" applyNumberFormat="1"/>
    <xf numFmtId="1" fontId="9" fillId="5" borderId="4" xfId="9" applyNumberFormat="1" applyBorder="1" applyAlignment="1">
      <alignment horizontal="center"/>
    </xf>
    <xf numFmtId="164" fontId="22" fillId="5" borderId="20" xfId="9" applyNumberFormat="1" applyFont="1" applyBorder="1" applyAlignment="1">
      <alignment horizontal="left"/>
    </xf>
    <xf numFmtId="164" fontId="9" fillId="5" borderId="67" xfId="9" applyNumberFormat="1" applyBorder="1" applyAlignment="1">
      <alignment horizontal="left"/>
    </xf>
    <xf numFmtId="0" fontId="18" fillId="34" borderId="26" xfId="43" applyFont="1" applyBorder="1" applyAlignment="1">
      <alignment horizontal="center" vertical="center"/>
    </xf>
    <xf numFmtId="0" fontId="18" fillId="34" borderId="27" xfId="43" applyFont="1" applyBorder="1" applyAlignment="1">
      <alignment horizontal="center" vertical="center"/>
    </xf>
    <xf numFmtId="0" fontId="9" fillId="5" borderId="35" xfId="9" applyBorder="1" applyAlignment="1">
      <alignment horizontal="left"/>
    </xf>
    <xf numFmtId="0" fontId="9" fillId="5" borderId="45" xfId="9" applyBorder="1" applyAlignment="1">
      <alignment horizontal="left"/>
    </xf>
    <xf numFmtId="0" fontId="9" fillId="5" borderId="38" xfId="9" applyBorder="1" applyAlignment="1">
      <alignment horizontal="left"/>
    </xf>
    <xf numFmtId="0" fontId="9" fillId="5" borderId="33" xfId="9" applyBorder="1" applyAlignment="1">
      <alignment horizontal="left"/>
    </xf>
    <xf numFmtId="0" fontId="9" fillId="5" borderId="44" xfId="9" applyBorder="1" applyAlignment="1">
      <alignment horizontal="left"/>
    </xf>
    <xf numFmtId="0" fontId="9" fillId="5" borderId="36" xfId="9" applyBorder="1" applyAlignment="1">
      <alignment horizontal="left"/>
    </xf>
    <xf numFmtId="0" fontId="9" fillId="5" borderId="34" xfId="9" applyBorder="1" applyAlignment="1">
      <alignment horizontal="left"/>
    </xf>
    <xf numFmtId="0" fontId="9" fillId="5" borderId="39" xfId="9" applyBorder="1" applyAlignment="1">
      <alignment horizontal="left"/>
    </xf>
    <xf numFmtId="0" fontId="9" fillId="5" borderId="37" xfId="9" applyBorder="1" applyAlignment="1">
      <alignment horizontal="left"/>
    </xf>
    <xf numFmtId="0" fontId="13" fillId="34" borderId="11" xfId="43" applyBorder="1" applyAlignment="1">
      <alignment horizontal="center" vertical="center"/>
    </xf>
    <xf numFmtId="0" fontId="13" fillId="34" borderId="12" xfId="43" applyBorder="1" applyAlignment="1">
      <alignment horizontal="center" vertical="center"/>
    </xf>
    <xf numFmtId="0" fontId="13" fillId="34" borderId="13" xfId="43" applyBorder="1" applyAlignment="1">
      <alignment horizontal="center" vertical="center"/>
    </xf>
    <xf numFmtId="0" fontId="13" fillId="33" borderId="40" xfId="42" applyBorder="1" applyAlignment="1">
      <alignment horizontal="center" vertical="center"/>
    </xf>
    <xf numFmtId="0" fontId="13" fillId="33" borderId="41" xfId="42" applyBorder="1" applyAlignment="1">
      <alignment horizontal="center" vertical="center"/>
    </xf>
    <xf numFmtId="0" fontId="13" fillId="33" borderId="42" xfId="42" applyBorder="1" applyAlignment="1">
      <alignment horizontal="center" vertical="center"/>
    </xf>
    <xf numFmtId="0" fontId="13" fillId="33" borderId="26" xfId="42" applyBorder="1" applyAlignment="1">
      <alignment horizontal="center" vertical="center"/>
    </xf>
    <xf numFmtId="0" fontId="13" fillId="33" borderId="27" xfId="42" applyBorder="1" applyAlignment="1">
      <alignment horizontal="center" vertical="center"/>
    </xf>
    <xf numFmtId="0" fontId="13" fillId="33" borderId="43" xfId="42" applyBorder="1" applyAlignment="1">
      <alignment horizontal="center" vertical="center"/>
    </xf>
    <xf numFmtId="0" fontId="18" fillId="34" borderId="11" xfId="43" applyFont="1" applyBorder="1" applyAlignment="1">
      <alignment horizontal="center" vertical="center"/>
    </xf>
    <xf numFmtId="0" fontId="18" fillId="34" borderId="12" xfId="43" applyFont="1" applyBorder="1" applyAlignment="1">
      <alignment horizontal="center" vertical="center"/>
    </xf>
    <xf numFmtId="0" fontId="18" fillId="34" borderId="13" xfId="43" applyFont="1" applyBorder="1" applyAlignment="1">
      <alignment horizontal="center" vertical="center"/>
    </xf>
  </cellXfs>
  <cellStyles count="51">
    <cellStyle name="20% - uthevingsfarge 1" xfId="19" builtinId="30" customBuiltin="1"/>
    <cellStyle name="20% - uthevingsfarge 2" xfId="23" builtinId="34" customBuiltin="1"/>
    <cellStyle name="20% - uthevingsfarge 3" xfId="27" builtinId="38" customBuiltin="1"/>
    <cellStyle name="20% - uthevingsfarge 4" xfId="31" builtinId="42" customBuiltin="1"/>
    <cellStyle name="20% - uthevingsfarge 5" xfId="35" builtinId="46" customBuiltin="1"/>
    <cellStyle name="20% - uthevingsfarge 6" xfId="39" builtinId="50" customBuiltin="1"/>
    <cellStyle name="40% - uthevingsfarge 1" xfId="20" builtinId="31" customBuiltin="1"/>
    <cellStyle name="40% - uthevingsfarge 2" xfId="24" builtinId="35" customBuiltin="1"/>
    <cellStyle name="40% - uthevingsfarge 3" xfId="28" builtinId="39" customBuiltin="1"/>
    <cellStyle name="40% - uthevingsfarge 4" xfId="32" builtinId="43" customBuiltin="1"/>
    <cellStyle name="40% - uthevingsfarge 5" xfId="36" builtinId="47" customBuiltin="1"/>
    <cellStyle name="40% - uthevingsfarge 6" xfId="40" builtinId="51" customBuiltin="1"/>
    <cellStyle name="60% - uthevingsfarge 1" xfId="21" builtinId="32" customBuiltin="1"/>
    <cellStyle name="60% - uthevingsfarge 2" xfId="25" builtinId="36" customBuiltin="1"/>
    <cellStyle name="60% - uthevingsfarge 3" xfId="29" builtinId="40" customBuiltin="1"/>
    <cellStyle name="60% - uthevingsfarge 4" xfId="33" builtinId="44" customBuiltin="1"/>
    <cellStyle name="60% - uthevingsfarge 5" xfId="37" builtinId="48" customBuiltin="1"/>
    <cellStyle name="60% - uthevingsfarge 6" xfId="41" builtinId="52" customBuiltin="1"/>
    <cellStyle name="Beregning" xfId="11" builtinId="22" customBuiltin="1"/>
    <cellStyle name="Dårlig" xfId="7" builtinId="27" customBuiltin="1"/>
    <cellStyle name="Forklarende tekst" xfId="16" builtinId="53" customBuiltin="1"/>
    <cellStyle name="God" xfId="6" builtinId="26" customBuiltin="1"/>
    <cellStyle name="Inndata" xfId="9" builtinId="20" customBuiltin="1"/>
    <cellStyle name="Koblet celle" xfId="12" builtinId="24" customBuiltin="1"/>
    <cellStyle name="Kontrollcelle" xfId="13" builtinId="23" customBuiltin="1"/>
    <cellStyle name="Merknad" xfId="15" builtinId="10" customBuiltin="1"/>
    <cellStyle name="Normal" xfId="0" builtinId="0"/>
    <cellStyle name="Nøytral" xfId="8" builtinId="28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TE Blå 1" xfId="42"/>
    <cellStyle name="TE Blå 2" xfId="43"/>
    <cellStyle name="TE Blå 3" xfId="44"/>
    <cellStyle name="TE Blå 4" xfId="45"/>
    <cellStyle name="TE Grønn" xfId="46"/>
    <cellStyle name="TE Grønn 1" xfId="47"/>
    <cellStyle name="TE Grønn 2" xfId="48"/>
    <cellStyle name="TE Grå" xfId="49"/>
    <cellStyle name="TE Lilla 1" xfId="50"/>
    <cellStyle name="Tittel" xfId="1" builtinId="15" customBuiltin="1"/>
    <cellStyle name="Totalt" xfId="17" builtinId="25" customBuiltin="1"/>
    <cellStyle name="Utdata" xfId="10" builtinId="21" customBuiltin="1"/>
    <cellStyle name="Uthevingsfarge1" xfId="18" builtinId="29" customBuiltin="1"/>
    <cellStyle name="Uthevingsfarge2" xfId="22" builtinId="33" customBuiltin="1"/>
    <cellStyle name="Uthevingsfarge3" xfId="26" builtinId="37" customBuiltin="1"/>
    <cellStyle name="Uthevingsfarge4" xfId="30" builtinId="41" customBuiltin="1"/>
    <cellStyle name="Uthevingsfarge5" xfId="34" builtinId="45" customBuiltin="1"/>
    <cellStyle name="Uthevingsfarge6" xfId="38" builtinId="49" customBuiltin="1"/>
    <cellStyle name="Varseltekst" xfId="14" builtinId="11" customBuiltin="1"/>
  </cellStyles>
  <dxfs count="4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R46"/>
  <sheetViews>
    <sheetView workbookViewId="0">
      <selection activeCell="H23" sqref="H23"/>
    </sheetView>
  </sheetViews>
  <sheetFormatPr baseColWidth="10" defaultColWidth="11.42578125" defaultRowHeight="15"/>
  <cols>
    <col min="1" max="1" width="28.85546875" customWidth="1"/>
    <col min="2" max="2" width="23.28515625" customWidth="1"/>
    <col min="3" max="3" width="19.5703125" customWidth="1"/>
    <col min="4" max="7" width="18" customWidth="1"/>
    <col min="8" max="9" width="14" customWidth="1"/>
    <col min="10" max="10" width="20" customWidth="1"/>
    <col min="11" max="11" width="46.28515625" bestFit="1" customWidth="1"/>
    <col min="12" max="16" width="14" customWidth="1"/>
    <col min="17" max="17" width="13.28515625" bestFit="1" customWidth="1"/>
  </cols>
  <sheetData>
    <row r="1" spans="1:18" ht="21.75" thickBot="1">
      <c r="A1" s="156" t="s">
        <v>104</v>
      </c>
      <c r="B1" s="157"/>
      <c r="C1" s="157"/>
      <c r="D1" s="157"/>
      <c r="E1" s="157"/>
      <c r="F1" s="157"/>
      <c r="G1" s="157"/>
      <c r="H1" s="157"/>
      <c r="I1" s="157"/>
      <c r="J1" s="157"/>
      <c r="K1" s="158"/>
      <c r="L1" s="136" t="s">
        <v>70</v>
      </c>
      <c r="M1" s="137"/>
      <c r="N1" s="137"/>
      <c r="O1" s="137"/>
      <c r="P1" s="137"/>
      <c r="Q1" s="137"/>
      <c r="R1" s="137"/>
    </row>
    <row r="2" spans="1:18" ht="45.75" thickBot="1">
      <c r="A2" s="20" t="s">
        <v>2</v>
      </c>
      <c r="B2" s="20" t="s">
        <v>2</v>
      </c>
      <c r="C2" s="20" t="s">
        <v>3</v>
      </c>
      <c r="D2" s="21" t="s">
        <v>31</v>
      </c>
      <c r="E2" s="21" t="s">
        <v>32</v>
      </c>
      <c r="F2" s="21" t="s">
        <v>30</v>
      </c>
      <c r="G2" s="21" t="s">
        <v>68</v>
      </c>
      <c r="H2" s="21" t="s">
        <v>72</v>
      </c>
      <c r="I2" s="79" t="s">
        <v>225</v>
      </c>
      <c r="J2" s="79" t="s">
        <v>226</v>
      </c>
      <c r="K2" s="78" t="s">
        <v>33</v>
      </c>
      <c r="L2" s="20" t="s">
        <v>4</v>
      </c>
      <c r="M2" s="20" t="s">
        <v>6</v>
      </c>
      <c r="N2" s="20" t="s">
        <v>28</v>
      </c>
      <c r="O2" s="20" t="s">
        <v>28</v>
      </c>
      <c r="P2" s="21" t="s">
        <v>222</v>
      </c>
      <c r="Q2" s="21" t="s">
        <v>221</v>
      </c>
      <c r="R2" s="20" t="s">
        <v>5</v>
      </c>
    </row>
    <row r="3" spans="1:18" ht="15.75" thickBot="1">
      <c r="A3" s="22" t="s">
        <v>13</v>
      </c>
      <c r="B3" s="3" t="s">
        <v>14</v>
      </c>
      <c r="C3" s="3" t="s">
        <v>12</v>
      </c>
      <c r="D3" s="3" t="s">
        <v>10</v>
      </c>
      <c r="E3" s="3" t="s">
        <v>10</v>
      </c>
      <c r="F3" s="3" t="s">
        <v>34</v>
      </c>
      <c r="G3" s="3" t="s">
        <v>11</v>
      </c>
      <c r="H3" s="43" t="s">
        <v>69</v>
      </c>
      <c r="I3" s="43" t="s">
        <v>12</v>
      </c>
      <c r="J3" s="43" t="s">
        <v>12</v>
      </c>
      <c r="K3" s="43" t="s">
        <v>12</v>
      </c>
      <c r="L3" s="22" t="s">
        <v>37</v>
      </c>
      <c r="M3" s="3" t="s">
        <v>7</v>
      </c>
      <c r="N3" s="3" t="s">
        <v>8</v>
      </c>
      <c r="O3" s="3" t="s">
        <v>29</v>
      </c>
      <c r="P3" s="3" t="s">
        <v>8</v>
      </c>
      <c r="Q3" s="3" t="s">
        <v>29</v>
      </c>
      <c r="R3" s="23" t="s">
        <v>27</v>
      </c>
    </row>
    <row r="4" spans="1:18">
      <c r="A4" s="10" t="s">
        <v>227</v>
      </c>
      <c r="B4" s="11" t="s">
        <v>1</v>
      </c>
      <c r="C4" s="11" t="s">
        <v>9</v>
      </c>
      <c r="D4" s="16">
        <v>64.224688459999996</v>
      </c>
      <c r="E4" s="16">
        <v>10.365205230000001</v>
      </c>
      <c r="F4" s="45" t="s">
        <v>12</v>
      </c>
      <c r="G4" s="18" t="s">
        <v>12</v>
      </c>
      <c r="H4" s="18" t="s">
        <v>18</v>
      </c>
      <c r="I4" s="18" t="s">
        <v>223</v>
      </c>
      <c r="J4" s="18" t="s">
        <v>224</v>
      </c>
      <c r="K4" s="18" t="s">
        <v>24</v>
      </c>
      <c r="L4" s="54" t="s">
        <v>18</v>
      </c>
      <c r="M4" s="4" t="s">
        <v>22</v>
      </c>
      <c r="N4" s="4" t="s">
        <v>71</v>
      </c>
      <c r="O4" s="4" t="s">
        <v>71</v>
      </c>
      <c r="P4" s="4" t="s">
        <v>18</v>
      </c>
      <c r="Q4" s="4" t="s">
        <v>18</v>
      </c>
      <c r="R4" s="5" t="s">
        <v>18</v>
      </c>
    </row>
    <row r="5" spans="1:18">
      <c r="A5" s="104" t="s">
        <v>293</v>
      </c>
      <c r="B5" s="105" t="s">
        <v>290</v>
      </c>
      <c r="C5" s="105" t="s">
        <v>9</v>
      </c>
      <c r="D5" s="106">
        <f>'WindFarm Data'!G53</f>
        <v>64.2154235</v>
      </c>
      <c r="E5" s="106">
        <f>'WindFarm Data'!H53</f>
        <v>10.417470250000001</v>
      </c>
      <c r="F5" s="107" t="s">
        <v>12</v>
      </c>
      <c r="G5" s="108" t="s">
        <v>12</v>
      </c>
      <c r="H5" s="1" t="s">
        <v>18</v>
      </c>
      <c r="I5" s="1" t="s">
        <v>223</v>
      </c>
      <c r="J5" s="1" t="s">
        <v>224</v>
      </c>
      <c r="K5" s="108" t="s">
        <v>24</v>
      </c>
      <c r="L5" s="55" t="s">
        <v>18</v>
      </c>
      <c r="M5" s="6" t="s">
        <v>22</v>
      </c>
      <c r="N5" s="6" t="s">
        <v>22</v>
      </c>
      <c r="O5" s="6" t="s">
        <v>22</v>
      </c>
      <c r="P5" s="6" t="s">
        <v>18</v>
      </c>
      <c r="Q5" s="6" t="s">
        <v>18</v>
      </c>
      <c r="R5" s="7" t="s">
        <v>18</v>
      </c>
    </row>
    <row r="6" spans="1:18">
      <c r="A6" s="12" t="s">
        <v>101</v>
      </c>
      <c r="B6" s="13" t="s">
        <v>102</v>
      </c>
      <c r="C6" s="13" t="s">
        <v>17</v>
      </c>
      <c r="D6" s="17">
        <v>64.401300000000006</v>
      </c>
      <c r="E6" s="17">
        <v>10.455</v>
      </c>
      <c r="F6" s="6">
        <v>10</v>
      </c>
      <c r="G6" s="1">
        <v>18</v>
      </c>
      <c r="H6" s="1" t="s">
        <v>18</v>
      </c>
      <c r="I6" s="1" t="s">
        <v>223</v>
      </c>
      <c r="J6" s="1" t="s">
        <v>224</v>
      </c>
      <c r="K6" s="1" t="s">
        <v>25</v>
      </c>
      <c r="L6" s="55" t="s">
        <v>18</v>
      </c>
      <c r="M6" s="6" t="s">
        <v>22</v>
      </c>
      <c r="N6" s="6" t="s">
        <v>22</v>
      </c>
      <c r="O6" s="6" t="s">
        <v>22</v>
      </c>
      <c r="P6" s="6" t="s">
        <v>18</v>
      </c>
      <c r="Q6" s="6" t="s">
        <v>18</v>
      </c>
      <c r="R6" s="7" t="s">
        <v>18</v>
      </c>
    </row>
    <row r="7" spans="1:18">
      <c r="A7" s="12" t="s">
        <v>100</v>
      </c>
      <c r="B7" s="13" t="s">
        <v>94</v>
      </c>
      <c r="C7" s="13" t="s">
        <v>17</v>
      </c>
      <c r="D7" s="17">
        <v>64.173000000000002</v>
      </c>
      <c r="E7" s="17">
        <v>9.4062999999999999</v>
      </c>
      <c r="F7" s="6">
        <v>10</v>
      </c>
      <c r="G7" s="1">
        <v>16</v>
      </c>
      <c r="H7" s="1" t="s">
        <v>18</v>
      </c>
      <c r="I7" s="1" t="s">
        <v>223</v>
      </c>
      <c r="J7" s="1" t="s">
        <v>224</v>
      </c>
      <c r="K7" s="1" t="s">
        <v>25</v>
      </c>
      <c r="L7" s="55" t="s">
        <v>18</v>
      </c>
      <c r="M7" s="6" t="s">
        <v>22</v>
      </c>
      <c r="N7" s="6" t="s">
        <v>22</v>
      </c>
      <c r="O7" s="6" t="s">
        <v>22</v>
      </c>
      <c r="P7" s="6" t="s">
        <v>18</v>
      </c>
      <c r="Q7" s="6" t="s">
        <v>18</v>
      </c>
      <c r="R7" s="7" t="s">
        <v>18</v>
      </c>
    </row>
    <row r="8" spans="1:18">
      <c r="A8" s="12" t="s">
        <v>98</v>
      </c>
      <c r="B8" s="13" t="s">
        <v>95</v>
      </c>
      <c r="C8" s="13" t="s">
        <v>17</v>
      </c>
      <c r="D8" s="17">
        <v>64.470799999999997</v>
      </c>
      <c r="E8" s="17">
        <v>11.570499999999999</v>
      </c>
      <c r="F8" s="6">
        <v>10</v>
      </c>
      <c r="G8" s="1">
        <v>2</v>
      </c>
      <c r="H8" s="1" t="s">
        <v>18</v>
      </c>
      <c r="I8" s="1" t="s">
        <v>223</v>
      </c>
      <c r="J8" s="1" t="s">
        <v>224</v>
      </c>
      <c r="K8" s="1" t="s">
        <v>25</v>
      </c>
      <c r="L8" s="55" t="s">
        <v>18</v>
      </c>
      <c r="M8" s="6" t="s">
        <v>22</v>
      </c>
      <c r="N8" s="6" t="s">
        <v>22</v>
      </c>
      <c r="O8" s="6" t="s">
        <v>22</v>
      </c>
      <c r="P8" s="6" t="s">
        <v>18</v>
      </c>
      <c r="Q8" s="6" t="s">
        <v>18</v>
      </c>
      <c r="R8" s="7" t="s">
        <v>18</v>
      </c>
    </row>
    <row r="9" spans="1:18">
      <c r="A9" s="12" t="s">
        <v>91</v>
      </c>
      <c r="B9" s="13" t="s">
        <v>92</v>
      </c>
      <c r="C9" s="13" t="s">
        <v>17</v>
      </c>
      <c r="D9" s="17">
        <v>63.704500000000003</v>
      </c>
      <c r="E9" s="17">
        <v>9.6105</v>
      </c>
      <c r="F9" s="6">
        <v>10</v>
      </c>
      <c r="G9" s="1">
        <v>10</v>
      </c>
      <c r="H9" s="1" t="s">
        <v>18</v>
      </c>
      <c r="I9" s="1" t="s">
        <v>223</v>
      </c>
      <c r="J9" s="1" t="s">
        <v>224</v>
      </c>
      <c r="K9" s="1" t="s">
        <v>25</v>
      </c>
      <c r="L9" s="55" t="s">
        <v>18</v>
      </c>
      <c r="M9" s="6" t="s">
        <v>22</v>
      </c>
      <c r="N9" s="6" t="s">
        <v>22</v>
      </c>
      <c r="O9" s="6" t="s">
        <v>22</v>
      </c>
      <c r="P9" s="6" t="s">
        <v>18</v>
      </c>
      <c r="Q9" s="6" t="s">
        <v>18</v>
      </c>
      <c r="R9" s="7" t="s">
        <v>18</v>
      </c>
    </row>
    <row r="10" spans="1:18">
      <c r="A10" s="12" t="s">
        <v>99</v>
      </c>
      <c r="B10" s="13" t="s">
        <v>96</v>
      </c>
      <c r="C10" s="13" t="s">
        <v>17</v>
      </c>
      <c r="D10" s="17">
        <v>64.834999999999994</v>
      </c>
      <c r="E10" s="17">
        <v>11.1408</v>
      </c>
      <c r="F10" s="6">
        <v>10</v>
      </c>
      <c r="G10" s="1">
        <v>4</v>
      </c>
      <c r="H10" s="1" t="s">
        <v>18</v>
      </c>
      <c r="I10" s="1" t="s">
        <v>223</v>
      </c>
      <c r="J10" s="1" t="s">
        <v>224</v>
      </c>
      <c r="K10" s="1" t="s">
        <v>25</v>
      </c>
      <c r="L10" s="55" t="s">
        <v>18</v>
      </c>
      <c r="M10" s="6" t="s">
        <v>22</v>
      </c>
      <c r="N10" s="6" t="s">
        <v>22</v>
      </c>
      <c r="O10" s="6" t="s">
        <v>22</v>
      </c>
      <c r="P10" s="6" t="s">
        <v>18</v>
      </c>
      <c r="Q10" s="6" t="s">
        <v>18</v>
      </c>
      <c r="R10" s="7" t="s">
        <v>18</v>
      </c>
    </row>
    <row r="11" spans="1:18">
      <c r="A11" s="12" t="s">
        <v>16</v>
      </c>
      <c r="B11" s="13" t="s">
        <v>97</v>
      </c>
      <c r="C11" s="13" t="s">
        <v>17</v>
      </c>
      <c r="D11" s="17">
        <v>63.459600000000002</v>
      </c>
      <c r="E11" s="17">
        <v>10.9305</v>
      </c>
      <c r="F11" s="6">
        <v>10</v>
      </c>
      <c r="G11" s="1">
        <v>12</v>
      </c>
      <c r="H11" s="1" t="s">
        <v>18</v>
      </c>
      <c r="I11" s="1" t="s">
        <v>223</v>
      </c>
      <c r="J11" s="1" t="s">
        <v>224</v>
      </c>
      <c r="K11" s="1" t="s">
        <v>25</v>
      </c>
      <c r="L11" s="55" t="s">
        <v>18</v>
      </c>
      <c r="M11" s="6" t="s">
        <v>22</v>
      </c>
      <c r="N11" s="6" t="s">
        <v>22</v>
      </c>
      <c r="O11" s="6" t="s">
        <v>22</v>
      </c>
      <c r="P11" s="6" t="s">
        <v>18</v>
      </c>
      <c r="Q11" s="6" t="s">
        <v>18</v>
      </c>
      <c r="R11" s="7" t="s">
        <v>18</v>
      </c>
    </row>
    <row r="12" spans="1:18">
      <c r="A12" s="12" t="s">
        <v>15</v>
      </c>
      <c r="B12" s="13" t="s">
        <v>15</v>
      </c>
      <c r="C12" s="13" t="s">
        <v>17</v>
      </c>
      <c r="D12" s="17">
        <v>63.846699999999998</v>
      </c>
      <c r="E12" s="17">
        <v>8.4666999999999994</v>
      </c>
      <c r="F12" s="6">
        <v>10</v>
      </c>
      <c r="G12" s="1">
        <v>5</v>
      </c>
      <c r="H12" s="1" t="s">
        <v>18</v>
      </c>
      <c r="I12" s="1" t="s">
        <v>223</v>
      </c>
      <c r="J12" s="1" t="s">
        <v>224</v>
      </c>
      <c r="K12" s="1" t="s">
        <v>25</v>
      </c>
      <c r="L12" s="55" t="s">
        <v>18</v>
      </c>
      <c r="M12" s="6" t="s">
        <v>22</v>
      </c>
      <c r="N12" s="6" t="s">
        <v>22</v>
      </c>
      <c r="O12" s="6" t="s">
        <v>22</v>
      </c>
      <c r="P12" s="6" t="s">
        <v>18</v>
      </c>
      <c r="Q12" s="6" t="s">
        <v>18</v>
      </c>
      <c r="R12" s="7" t="s">
        <v>18</v>
      </c>
    </row>
    <row r="13" spans="1:18">
      <c r="A13" s="12" t="s">
        <v>0</v>
      </c>
      <c r="B13" s="13" t="s">
        <v>0</v>
      </c>
      <c r="C13" s="13" t="s">
        <v>17</v>
      </c>
      <c r="D13" s="17">
        <v>64.742199999999997</v>
      </c>
      <c r="E13" s="17">
        <v>12.846</v>
      </c>
      <c r="F13" s="6">
        <v>10</v>
      </c>
      <c r="G13" s="1">
        <v>140</v>
      </c>
      <c r="H13" s="1" t="s">
        <v>18</v>
      </c>
      <c r="I13" s="1" t="s">
        <v>223</v>
      </c>
      <c r="J13" s="1" t="s">
        <v>224</v>
      </c>
      <c r="K13" s="1" t="s">
        <v>25</v>
      </c>
      <c r="L13" s="55" t="s">
        <v>18</v>
      </c>
      <c r="M13" s="6" t="s">
        <v>22</v>
      </c>
      <c r="N13" s="6" t="s">
        <v>22</v>
      </c>
      <c r="O13" s="6" t="s">
        <v>22</v>
      </c>
      <c r="P13" s="6" t="s">
        <v>18</v>
      </c>
      <c r="Q13" s="6" t="s">
        <v>18</v>
      </c>
      <c r="R13" s="7" t="s">
        <v>18</v>
      </c>
    </row>
    <row r="14" spans="1:18">
      <c r="A14" s="12" t="s">
        <v>23</v>
      </c>
      <c r="B14" s="13" t="s">
        <v>93</v>
      </c>
      <c r="C14" s="13" t="s">
        <v>26</v>
      </c>
      <c r="D14" s="17">
        <v>64.214100000000002</v>
      </c>
      <c r="E14" s="17">
        <v>10.411799999999999</v>
      </c>
      <c r="F14" s="6">
        <v>30</v>
      </c>
      <c r="G14" s="1">
        <v>330</v>
      </c>
      <c r="H14" s="1" t="s">
        <v>18</v>
      </c>
      <c r="I14" s="1" t="s">
        <v>223</v>
      </c>
      <c r="J14" s="1" t="s">
        <v>224</v>
      </c>
      <c r="K14" s="1" t="s">
        <v>24</v>
      </c>
      <c r="L14" s="55" t="s">
        <v>18</v>
      </c>
      <c r="M14" s="6" t="s">
        <v>22</v>
      </c>
      <c r="N14" s="6" t="s">
        <v>22</v>
      </c>
      <c r="O14" s="6" t="s">
        <v>22</v>
      </c>
      <c r="P14" s="6" t="s">
        <v>18</v>
      </c>
      <c r="Q14" s="6" t="s">
        <v>18</v>
      </c>
      <c r="R14" s="7" t="s">
        <v>22</v>
      </c>
    </row>
    <row r="15" spans="1:18">
      <c r="A15" s="12" t="s">
        <v>19</v>
      </c>
      <c r="B15" s="13" t="s">
        <v>73</v>
      </c>
      <c r="C15" s="13" t="s">
        <v>20</v>
      </c>
      <c r="D15" s="35">
        <f>LNS/(2*60*1.852)+$D$4</f>
        <v>65.304602066911443</v>
      </c>
      <c r="E15" s="35">
        <f>-LWE/(2*(111.32 + 0.373*(SIN(RADIANS(D15)))^2)*COS(RADIANS(D15)))+$E$4</f>
        <v>7.7921671162819557</v>
      </c>
      <c r="F15" s="6">
        <v>10</v>
      </c>
      <c r="G15" s="1" t="s">
        <v>21</v>
      </c>
      <c r="H15" s="1" t="s">
        <v>18</v>
      </c>
      <c r="I15" s="1" t="s">
        <v>223</v>
      </c>
      <c r="J15" s="1" t="s">
        <v>224</v>
      </c>
      <c r="K15" s="1" t="s">
        <v>25</v>
      </c>
      <c r="L15" s="55" t="s">
        <v>18</v>
      </c>
      <c r="M15" s="6" t="s">
        <v>22</v>
      </c>
      <c r="N15" s="6" t="s">
        <v>22</v>
      </c>
      <c r="O15" s="6" t="s">
        <v>22</v>
      </c>
      <c r="P15" s="6" t="s">
        <v>18</v>
      </c>
      <c r="Q15" s="6" t="s">
        <v>18</v>
      </c>
      <c r="R15" s="7" t="s">
        <v>18</v>
      </c>
    </row>
    <row r="16" spans="1:18">
      <c r="A16" s="12" t="s">
        <v>52</v>
      </c>
      <c r="B16" s="13" t="s">
        <v>74</v>
      </c>
      <c r="C16" s="13" t="s">
        <v>20</v>
      </c>
      <c r="D16" s="35">
        <f>D15</f>
        <v>65.304602066911443</v>
      </c>
      <c r="E16" s="35">
        <f>LWE/(2*(111.32 + 0.373*(SIN(RADIANS(D16)))^2)*COS(RADIANS(D16)))+$E$4</f>
        <v>12.938243343718046</v>
      </c>
      <c r="F16" s="6">
        <v>10</v>
      </c>
      <c r="G16" s="1" t="s">
        <v>21</v>
      </c>
      <c r="H16" s="1" t="s">
        <v>18</v>
      </c>
      <c r="I16" s="1" t="s">
        <v>223</v>
      </c>
      <c r="J16" s="1" t="s">
        <v>224</v>
      </c>
      <c r="K16" s="1" t="s">
        <v>25</v>
      </c>
      <c r="L16" s="55" t="s">
        <v>18</v>
      </c>
      <c r="M16" s="6" t="s">
        <v>22</v>
      </c>
      <c r="N16" s="6" t="s">
        <v>22</v>
      </c>
      <c r="O16" s="6" t="s">
        <v>22</v>
      </c>
      <c r="P16" s="6" t="s">
        <v>18</v>
      </c>
      <c r="Q16" s="6" t="s">
        <v>18</v>
      </c>
      <c r="R16" s="7" t="s">
        <v>18</v>
      </c>
    </row>
    <row r="17" spans="1:18">
      <c r="A17" s="12" t="s">
        <v>53</v>
      </c>
      <c r="B17" s="13" t="s">
        <v>75</v>
      </c>
      <c r="C17" s="13" t="s">
        <v>20</v>
      </c>
      <c r="D17" s="35">
        <f>-LNS/(2*60*1.852)+D4</f>
        <v>63.144774853088549</v>
      </c>
      <c r="E17" s="35">
        <f>LWE/(2*(111.32 + 0.373*(SIN(RADIANS(D17)))^2)*COS(RADIANS(D17)))+$E$4</f>
        <v>12.745140023496493</v>
      </c>
      <c r="F17" s="6">
        <v>10</v>
      </c>
      <c r="G17" s="1" t="s">
        <v>21</v>
      </c>
      <c r="H17" s="1" t="s">
        <v>18</v>
      </c>
      <c r="I17" s="1" t="s">
        <v>223</v>
      </c>
      <c r="J17" s="1" t="s">
        <v>224</v>
      </c>
      <c r="K17" s="1" t="s">
        <v>25</v>
      </c>
      <c r="L17" s="55" t="s">
        <v>18</v>
      </c>
      <c r="M17" s="6" t="s">
        <v>22</v>
      </c>
      <c r="N17" s="6" t="s">
        <v>22</v>
      </c>
      <c r="O17" s="6" t="s">
        <v>22</v>
      </c>
      <c r="P17" s="6" t="s">
        <v>18</v>
      </c>
      <c r="Q17" s="6" t="s">
        <v>18</v>
      </c>
      <c r="R17" s="7" t="s">
        <v>18</v>
      </c>
    </row>
    <row r="18" spans="1:18">
      <c r="A18" s="12" t="s">
        <v>54</v>
      </c>
      <c r="B18" s="13" t="s">
        <v>76</v>
      </c>
      <c r="C18" s="13" t="s">
        <v>20</v>
      </c>
      <c r="D18" s="35">
        <f>D17</f>
        <v>63.144774853088549</v>
      </c>
      <c r="E18" s="35">
        <f>-LWE/(2*(111.32 + 0.373*(SIN(RADIANS(D18)))^2)*COS(RADIANS(D18)))+$E$4</f>
        <v>7.9852704365035088</v>
      </c>
      <c r="F18" s="6">
        <v>10</v>
      </c>
      <c r="G18" s="1" t="s">
        <v>21</v>
      </c>
      <c r="H18" s="1" t="s">
        <v>18</v>
      </c>
      <c r="I18" s="1" t="s">
        <v>223</v>
      </c>
      <c r="J18" s="1" t="s">
        <v>224</v>
      </c>
      <c r="K18" s="1" t="s">
        <v>25</v>
      </c>
      <c r="L18" s="55" t="s">
        <v>18</v>
      </c>
      <c r="M18" s="6" t="s">
        <v>22</v>
      </c>
      <c r="N18" s="6" t="s">
        <v>22</v>
      </c>
      <c r="O18" s="6" t="s">
        <v>22</v>
      </c>
      <c r="P18" s="6" t="s">
        <v>18</v>
      </c>
      <c r="Q18" s="6" t="s">
        <v>18</v>
      </c>
      <c r="R18" s="7" t="s">
        <v>18</v>
      </c>
    </row>
    <row r="19" spans="1:18">
      <c r="A19" s="12"/>
      <c r="B19" s="13"/>
      <c r="C19" s="13"/>
      <c r="D19" s="6"/>
      <c r="E19" s="6"/>
      <c r="F19" s="13"/>
      <c r="G19" s="2"/>
      <c r="H19" s="2"/>
      <c r="I19" s="2"/>
      <c r="J19" s="2"/>
      <c r="K19" s="1"/>
      <c r="L19" s="55"/>
      <c r="M19" s="6"/>
      <c r="N19" s="6"/>
      <c r="O19" s="6"/>
      <c r="P19" s="6"/>
      <c r="Q19" s="6"/>
      <c r="R19" s="7"/>
    </row>
    <row r="20" spans="1:18">
      <c r="A20" s="12"/>
      <c r="B20" s="13"/>
      <c r="C20" s="13"/>
      <c r="D20" s="17"/>
      <c r="E20" s="17"/>
      <c r="F20" s="13"/>
      <c r="G20" s="2"/>
      <c r="H20" s="2"/>
      <c r="I20" s="2"/>
      <c r="J20" s="2"/>
      <c r="K20" s="1"/>
      <c r="L20" s="55"/>
      <c r="M20" s="6"/>
      <c r="N20" s="6"/>
      <c r="O20" s="6"/>
      <c r="P20" s="6"/>
      <c r="Q20" s="6"/>
      <c r="R20" s="7"/>
    </row>
    <row r="21" spans="1:18">
      <c r="A21" s="12"/>
      <c r="B21" s="13"/>
      <c r="C21" s="13"/>
      <c r="D21" s="17"/>
      <c r="E21" s="6"/>
      <c r="F21" s="13"/>
      <c r="G21" s="2"/>
      <c r="H21" s="2"/>
      <c r="I21" s="2"/>
      <c r="J21" s="2"/>
      <c r="K21" s="1"/>
      <c r="L21" s="55"/>
      <c r="M21" s="6"/>
      <c r="N21" s="6"/>
      <c r="O21" s="6"/>
      <c r="P21" s="6"/>
      <c r="Q21" s="6"/>
      <c r="R21" s="7"/>
    </row>
    <row r="22" spans="1:18">
      <c r="A22" s="12"/>
      <c r="B22" s="13"/>
      <c r="C22" s="13"/>
      <c r="D22" s="6"/>
      <c r="E22" s="6"/>
      <c r="F22" s="13"/>
      <c r="G22" s="2"/>
      <c r="H22" s="2"/>
      <c r="I22" s="2"/>
      <c r="J22" s="2"/>
      <c r="K22" s="2"/>
      <c r="L22" s="55"/>
      <c r="M22" s="6"/>
      <c r="N22" s="6"/>
      <c r="O22" s="6"/>
      <c r="P22" s="6"/>
      <c r="Q22" s="6"/>
      <c r="R22" s="7"/>
    </row>
    <row r="23" spans="1:18">
      <c r="A23" s="12"/>
      <c r="B23" s="13"/>
      <c r="C23" s="13"/>
      <c r="D23" s="17"/>
      <c r="E23" s="6"/>
      <c r="F23" s="48"/>
      <c r="G23" s="49"/>
      <c r="H23" s="47"/>
      <c r="I23" s="47"/>
      <c r="J23" s="47"/>
      <c r="K23" s="2"/>
      <c r="L23" s="55"/>
      <c r="M23" s="6"/>
      <c r="N23" s="6"/>
      <c r="O23" s="6"/>
      <c r="P23" s="6"/>
      <c r="Q23" s="6"/>
      <c r="R23" s="7"/>
    </row>
    <row r="24" spans="1:18">
      <c r="A24" s="12"/>
      <c r="B24" s="13"/>
      <c r="C24" s="13"/>
      <c r="D24" s="35"/>
      <c r="E24" s="17"/>
      <c r="F24" s="48"/>
      <c r="G24" s="48"/>
      <c r="H24" s="47"/>
      <c r="I24" s="47"/>
      <c r="J24" s="47"/>
      <c r="K24" s="2"/>
      <c r="L24" s="55"/>
      <c r="M24" s="6"/>
      <c r="N24" s="6"/>
      <c r="O24" s="6"/>
      <c r="P24" s="6"/>
      <c r="Q24" s="6"/>
      <c r="R24" s="7"/>
    </row>
    <row r="25" spans="1:18" ht="15.75" thickBot="1">
      <c r="A25" s="14"/>
      <c r="B25" s="15"/>
      <c r="C25" s="15"/>
      <c r="D25" s="46"/>
      <c r="E25" s="8"/>
      <c r="F25" s="15"/>
      <c r="G25" s="19"/>
      <c r="H25" s="19"/>
      <c r="I25" s="19"/>
      <c r="J25" s="19"/>
      <c r="K25" s="19"/>
      <c r="L25" s="56"/>
      <c r="M25" s="8"/>
      <c r="N25" s="8"/>
      <c r="O25" s="8"/>
      <c r="P25" s="8"/>
      <c r="Q25" s="8"/>
      <c r="R25" s="9"/>
    </row>
    <row r="27" spans="1:18" ht="15.75" thickBot="1"/>
    <row r="28" spans="1:18" ht="15" customHeight="1">
      <c r="A28" s="150" t="s">
        <v>46</v>
      </c>
      <c r="B28" s="151"/>
      <c r="C28" s="151"/>
      <c r="D28" s="151"/>
      <c r="E28" s="151"/>
      <c r="F28" s="151"/>
      <c r="G28" s="152"/>
      <c r="K28" s="57" t="s">
        <v>84</v>
      </c>
      <c r="L28" s="58"/>
      <c r="M28" s="59"/>
    </row>
    <row r="29" spans="1:18" ht="15.75" customHeight="1" thickBot="1">
      <c r="A29" s="153"/>
      <c r="B29" s="154"/>
      <c r="C29" s="154"/>
      <c r="D29" s="154"/>
      <c r="E29" s="154"/>
      <c r="F29" s="154"/>
      <c r="G29" s="155"/>
      <c r="K29" s="60"/>
      <c r="L29" s="61"/>
      <c r="M29" s="62"/>
    </row>
    <row r="30" spans="1:18" ht="15.75" thickBot="1">
      <c r="A30" s="31" t="s">
        <v>45</v>
      </c>
      <c r="B30" s="31" t="s">
        <v>43</v>
      </c>
      <c r="C30" s="31" t="s">
        <v>44</v>
      </c>
      <c r="D30" s="147" t="s">
        <v>42</v>
      </c>
      <c r="E30" s="148"/>
      <c r="F30" s="148"/>
      <c r="G30" s="149"/>
      <c r="K30" s="52" t="s">
        <v>45</v>
      </c>
      <c r="L30" s="52" t="s">
        <v>43</v>
      </c>
      <c r="M30" s="52" t="s">
        <v>44</v>
      </c>
    </row>
    <row r="31" spans="1:18">
      <c r="A31" s="40" t="s">
        <v>50</v>
      </c>
      <c r="B31" s="32">
        <v>2.5</v>
      </c>
      <c r="C31" s="32" t="s">
        <v>47</v>
      </c>
      <c r="D31" s="141" t="s">
        <v>48</v>
      </c>
      <c r="E31" s="142"/>
      <c r="F31" s="142"/>
      <c r="G31" s="143"/>
      <c r="K31" s="40" t="s">
        <v>85</v>
      </c>
      <c r="L31" s="50">
        <f>MAXA(D15:D18)</f>
        <v>65.304602066911443</v>
      </c>
      <c r="M31" s="32" t="s">
        <v>29</v>
      </c>
    </row>
    <row r="32" spans="1:18">
      <c r="A32" s="41" t="s">
        <v>49</v>
      </c>
      <c r="B32" s="33">
        <v>240</v>
      </c>
      <c r="C32" s="33" t="s">
        <v>47</v>
      </c>
      <c r="D32" s="144" t="s">
        <v>59</v>
      </c>
      <c r="E32" s="145"/>
      <c r="F32" s="145"/>
      <c r="G32" s="146"/>
      <c r="K32" s="41" t="s">
        <v>86</v>
      </c>
      <c r="L32" s="51">
        <f>MIN(D15:D18)</f>
        <v>63.144774853088549</v>
      </c>
      <c r="M32" s="33" t="s">
        <v>29</v>
      </c>
    </row>
    <row r="33" spans="1:13">
      <c r="A33" s="41" t="s">
        <v>51</v>
      </c>
      <c r="B33" s="33">
        <v>240</v>
      </c>
      <c r="C33" s="33" t="s">
        <v>47</v>
      </c>
      <c r="D33" s="144" t="s">
        <v>60</v>
      </c>
      <c r="E33" s="145"/>
      <c r="F33" s="145"/>
      <c r="G33" s="146"/>
      <c r="K33" s="41" t="s">
        <v>87</v>
      </c>
      <c r="L33" s="51">
        <f>MIN(E15:E18)</f>
        <v>7.7921671162819557</v>
      </c>
      <c r="M33" s="33" t="s">
        <v>29</v>
      </c>
    </row>
    <row r="34" spans="1:13">
      <c r="A34" s="41" t="s">
        <v>55</v>
      </c>
      <c r="B34" s="33">
        <f>((LNS/ND)+1)*(LWE/ND +1)</f>
        <v>9409</v>
      </c>
      <c r="C34" s="33" t="s">
        <v>12</v>
      </c>
      <c r="D34" s="144" t="s">
        <v>82</v>
      </c>
      <c r="E34" s="145"/>
      <c r="F34" s="145"/>
      <c r="G34" s="146"/>
      <c r="K34" s="41" t="s">
        <v>294</v>
      </c>
      <c r="L34" s="51">
        <f>MAXA(E15:E18)</f>
        <v>12.938243343718046</v>
      </c>
      <c r="M34" s="33" t="s">
        <v>29</v>
      </c>
    </row>
    <row r="35" spans="1:13">
      <c r="A35" s="41" t="s">
        <v>56</v>
      </c>
      <c r="B35" s="36">
        <v>41487</v>
      </c>
      <c r="C35" s="33" t="s">
        <v>12</v>
      </c>
      <c r="D35" s="144" t="s">
        <v>57</v>
      </c>
      <c r="E35" s="145"/>
      <c r="F35" s="145"/>
      <c r="G35" s="146"/>
      <c r="K35" s="41" t="s">
        <v>295</v>
      </c>
      <c r="L35" s="36" t="str">
        <f>IF(L31&lt;MAXA($D$4:$D$14),"YES","NO")</f>
        <v>NO</v>
      </c>
      <c r="M35" s="33" t="s">
        <v>69</v>
      </c>
    </row>
    <row r="36" spans="1:13">
      <c r="A36" s="41" t="s">
        <v>58</v>
      </c>
      <c r="B36" s="37">
        <v>42460</v>
      </c>
      <c r="C36" s="33" t="s">
        <v>12</v>
      </c>
      <c r="D36" s="144" t="s">
        <v>61</v>
      </c>
      <c r="E36" s="145"/>
      <c r="F36" s="145"/>
      <c r="G36" s="146"/>
      <c r="K36" s="41" t="s">
        <v>296</v>
      </c>
      <c r="L36" s="36" t="str">
        <f>IF(L32&gt;MIN($D$4:$D$14),"YES","NO")</f>
        <v>NO</v>
      </c>
      <c r="M36" s="33" t="s">
        <v>69</v>
      </c>
    </row>
    <row r="37" spans="1:13">
      <c r="A37" s="41" t="s">
        <v>62</v>
      </c>
      <c r="B37" s="39">
        <v>4</v>
      </c>
      <c r="C37" s="33" t="s">
        <v>12</v>
      </c>
      <c r="D37" s="144" t="s">
        <v>66</v>
      </c>
      <c r="E37" s="145"/>
      <c r="F37" s="145"/>
      <c r="G37" s="146"/>
      <c r="K37" s="41" t="s">
        <v>297</v>
      </c>
      <c r="L37" s="37" t="str">
        <f>IF(L33&gt;MIN($E$4:$E$14),"YES","NO")</f>
        <v>NO</v>
      </c>
      <c r="M37" s="33" t="s">
        <v>69</v>
      </c>
    </row>
    <row r="38" spans="1:13" ht="15.75" thickBot="1">
      <c r="A38" s="41" t="s">
        <v>63</v>
      </c>
      <c r="B38" s="38">
        <f>B36-B35+1</f>
        <v>974</v>
      </c>
      <c r="C38" s="33" t="s">
        <v>64</v>
      </c>
      <c r="D38" s="144" t="s">
        <v>67</v>
      </c>
      <c r="E38" s="145"/>
      <c r="F38" s="145"/>
      <c r="G38" s="146"/>
      <c r="K38" s="42" t="s">
        <v>298</v>
      </c>
      <c r="L38" s="53" t="str">
        <f>IF(L34&lt;MAXA($E$4:$E$14),"YES","NO")</f>
        <v>NO</v>
      </c>
      <c r="M38" s="34" t="s">
        <v>69</v>
      </c>
    </row>
    <row r="39" spans="1:13">
      <c r="A39" s="41" t="s">
        <v>65</v>
      </c>
      <c r="B39" s="39">
        <f>B38*B37</f>
        <v>3896</v>
      </c>
      <c r="C39" s="33" t="s">
        <v>12</v>
      </c>
      <c r="D39" s="144" t="s">
        <v>83</v>
      </c>
      <c r="E39" s="145"/>
      <c r="F39" s="145"/>
      <c r="G39" s="146"/>
    </row>
    <row r="40" spans="1:13">
      <c r="A40" s="41" t="s">
        <v>77</v>
      </c>
      <c r="B40" s="39">
        <v>8</v>
      </c>
      <c r="C40" s="33" t="s">
        <v>12</v>
      </c>
      <c r="D40" s="144" t="s">
        <v>79</v>
      </c>
      <c r="E40" s="145"/>
      <c r="F40" s="145"/>
      <c r="G40" s="146"/>
    </row>
    <row r="41" spans="1:13">
      <c r="A41" s="41" t="s">
        <v>78</v>
      </c>
      <c r="B41" s="39">
        <v>30</v>
      </c>
      <c r="C41" s="33" t="s">
        <v>12</v>
      </c>
      <c r="D41" s="144" t="s">
        <v>299</v>
      </c>
      <c r="E41" s="145"/>
      <c r="F41" s="145"/>
      <c r="G41" s="146"/>
    </row>
    <row r="42" spans="1:13" ht="15.75" thickBot="1">
      <c r="A42" s="42" t="s">
        <v>80</v>
      </c>
      <c r="B42" s="44">
        <v>5</v>
      </c>
      <c r="C42" s="34" t="s">
        <v>12</v>
      </c>
      <c r="D42" s="138" t="s">
        <v>81</v>
      </c>
      <c r="E42" s="139"/>
      <c r="F42" s="139"/>
      <c r="G42" s="140"/>
    </row>
    <row r="45" spans="1:13" ht="15" customHeight="1"/>
    <row r="46" spans="1:13" ht="15.75" customHeight="1"/>
  </sheetData>
  <mergeCells count="16">
    <mergeCell ref="L1:R1"/>
    <mergeCell ref="D42:G42"/>
    <mergeCell ref="D31:G31"/>
    <mergeCell ref="D32:G32"/>
    <mergeCell ref="D33:G33"/>
    <mergeCell ref="D30:G30"/>
    <mergeCell ref="D37:G37"/>
    <mergeCell ref="D38:G38"/>
    <mergeCell ref="D39:G39"/>
    <mergeCell ref="D40:G40"/>
    <mergeCell ref="D41:G41"/>
    <mergeCell ref="D34:G34"/>
    <mergeCell ref="D35:G35"/>
    <mergeCell ref="D36:G36"/>
    <mergeCell ref="A28:G29"/>
    <mergeCell ref="A1:K1"/>
  </mergeCells>
  <conditionalFormatting sqref="L4:R25">
    <cfRule type="cellIs" dxfId="3" priority="3" operator="equal">
      <formula>"YES"</formula>
    </cfRule>
    <cfRule type="expression" dxfId="2" priority="4">
      <formula>"YES"</formula>
    </cfRule>
  </conditionalFormatting>
  <conditionalFormatting sqref="H25:J25 K23:K24 H4:J22">
    <cfRule type="cellIs" dxfId="1" priority="2" operator="equal">
      <formula>"YES"</formula>
    </cfRule>
  </conditionalFormatting>
  <conditionalFormatting sqref="H23:J24">
    <cfRule type="cellIs" dxfId="0" priority="1" operator="equal">
      <formula>"YES"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N148"/>
  <sheetViews>
    <sheetView zoomScale="70" zoomScaleNormal="70" workbookViewId="0">
      <selection activeCell="P27" sqref="P27"/>
    </sheetView>
  </sheetViews>
  <sheetFormatPr baseColWidth="10" defaultColWidth="11.42578125" defaultRowHeight="15"/>
  <cols>
    <col min="1" max="1" width="26.28515625" customWidth="1"/>
    <col min="2" max="3" width="13.42578125" customWidth="1"/>
    <col min="5" max="5" width="14.7109375" customWidth="1"/>
    <col min="6" max="6" width="12" bestFit="1" customWidth="1"/>
    <col min="7" max="7" width="13.28515625" customWidth="1"/>
    <col min="8" max="8" width="12.85546875" bestFit="1" customWidth="1"/>
    <col min="9" max="9" width="42" bestFit="1" customWidth="1"/>
    <col min="10" max="13" width="36.42578125" customWidth="1"/>
    <col min="14" max="14" width="32.7109375" bestFit="1" customWidth="1"/>
  </cols>
  <sheetData>
    <row r="1" spans="1:14" ht="21.75" thickBot="1">
      <c r="A1" s="156" t="s">
        <v>39</v>
      </c>
      <c r="B1" s="157"/>
      <c r="C1" s="157"/>
      <c r="D1" s="157"/>
      <c r="E1" s="157"/>
      <c r="F1" s="157"/>
      <c r="G1" s="157"/>
      <c r="H1" s="158"/>
      <c r="I1" s="136" t="s">
        <v>110</v>
      </c>
      <c r="J1" s="137"/>
      <c r="K1" s="137"/>
      <c r="L1" s="137"/>
      <c r="M1" s="137"/>
      <c r="N1" s="137"/>
    </row>
    <row r="2" spans="1:14" ht="45.75" thickBot="1">
      <c r="A2" s="20" t="s">
        <v>41</v>
      </c>
      <c r="B2" s="20" t="s">
        <v>41</v>
      </c>
      <c r="C2" s="20" t="s">
        <v>36</v>
      </c>
      <c r="D2" s="21" t="s">
        <v>38</v>
      </c>
      <c r="E2" s="21" t="s">
        <v>40</v>
      </c>
      <c r="F2" s="21" t="s">
        <v>40</v>
      </c>
      <c r="G2" s="21" t="s">
        <v>336</v>
      </c>
      <c r="H2" s="21" t="s">
        <v>337</v>
      </c>
      <c r="I2" s="21" t="s">
        <v>106</v>
      </c>
      <c r="J2" s="21" t="s">
        <v>107</v>
      </c>
      <c r="K2" s="21" t="s">
        <v>108</v>
      </c>
      <c r="L2" s="21" t="s">
        <v>109</v>
      </c>
      <c r="M2" s="21" t="s">
        <v>111</v>
      </c>
      <c r="N2" s="21" t="s">
        <v>216</v>
      </c>
    </row>
    <row r="3" spans="1:14">
      <c r="A3" s="22"/>
      <c r="B3" s="3"/>
      <c r="C3" s="3"/>
      <c r="D3" s="3" t="s">
        <v>11</v>
      </c>
      <c r="E3" s="3" t="s">
        <v>34</v>
      </c>
      <c r="F3" s="3" t="s">
        <v>11</v>
      </c>
      <c r="G3" s="3" t="s">
        <v>10</v>
      </c>
      <c r="H3" s="3" t="s">
        <v>10</v>
      </c>
      <c r="I3" s="3" t="s">
        <v>105</v>
      </c>
      <c r="J3" s="3" t="s">
        <v>88</v>
      </c>
      <c r="K3" s="3" t="s">
        <v>8</v>
      </c>
      <c r="L3" s="3" t="s">
        <v>88</v>
      </c>
      <c r="M3" s="3" t="s">
        <v>112</v>
      </c>
      <c r="N3" s="3" t="s">
        <v>190</v>
      </c>
    </row>
    <row r="4" spans="1:14">
      <c r="A4" s="12" t="s">
        <v>1</v>
      </c>
      <c r="B4" s="6" t="s">
        <v>228</v>
      </c>
      <c r="C4" s="6" t="s">
        <v>35</v>
      </c>
      <c r="D4" s="24">
        <f>AVERAGE(D5:D29)</f>
        <v>333.52520000000004</v>
      </c>
      <c r="E4" s="25">
        <v>64</v>
      </c>
      <c r="F4" s="24">
        <f>D4+E4</f>
        <v>397.52520000000004</v>
      </c>
      <c r="G4" s="26">
        <f>AVERAGE(G5:G29)</f>
        <v>64.223352760000012</v>
      </c>
      <c r="H4" s="27">
        <f>AVERAGE(H5:H29)</f>
        <v>10.36987216</v>
      </c>
      <c r="I4" s="63" t="s">
        <v>229</v>
      </c>
      <c r="J4" s="134" t="s">
        <v>576</v>
      </c>
      <c r="K4" s="63"/>
      <c r="L4" s="27"/>
      <c r="M4" s="63"/>
      <c r="N4" s="63"/>
    </row>
    <row r="5" spans="1:14">
      <c r="A5" s="12" t="s">
        <v>1</v>
      </c>
      <c r="B5" s="6">
        <v>1</v>
      </c>
      <c r="C5" s="6" t="s">
        <v>35</v>
      </c>
      <c r="D5" s="24">
        <v>350.29199999999997</v>
      </c>
      <c r="E5" s="25">
        <v>64</v>
      </c>
      <c r="F5" s="24">
        <f t="shared" ref="F5:F34" si="0">D5+E5</f>
        <v>414.29199999999997</v>
      </c>
      <c r="G5" s="26">
        <v>64.230228999999994</v>
      </c>
      <c r="H5" s="27">
        <v>10.380853</v>
      </c>
      <c r="I5" s="63" t="s">
        <v>113</v>
      </c>
      <c r="J5" s="63" t="s">
        <v>164</v>
      </c>
      <c r="K5" s="63" t="s">
        <v>139</v>
      </c>
      <c r="L5" s="27" t="s">
        <v>217</v>
      </c>
      <c r="M5" s="63" t="s">
        <v>138</v>
      </c>
      <c r="N5" s="63" t="s">
        <v>191</v>
      </c>
    </row>
    <row r="6" spans="1:14">
      <c r="A6" s="12" t="s">
        <v>1</v>
      </c>
      <c r="B6" s="6">
        <v>2</v>
      </c>
      <c r="C6" s="6" t="s">
        <v>35</v>
      </c>
      <c r="D6" s="24">
        <v>370.42899999999997</v>
      </c>
      <c r="E6" s="25">
        <v>64</v>
      </c>
      <c r="F6" s="24">
        <f>D6+E6</f>
        <v>434.42899999999997</v>
      </c>
      <c r="G6" s="26">
        <v>64.230062000000004</v>
      </c>
      <c r="H6" s="27">
        <v>10.376347000000001</v>
      </c>
      <c r="I6" s="63" t="s">
        <v>114</v>
      </c>
      <c r="J6" s="63" t="s">
        <v>165</v>
      </c>
      <c r="K6" s="63" t="s">
        <v>140</v>
      </c>
      <c r="L6" s="27" t="s">
        <v>217</v>
      </c>
      <c r="M6" s="63" t="s">
        <v>421</v>
      </c>
      <c r="N6" s="63" t="s">
        <v>192</v>
      </c>
    </row>
    <row r="7" spans="1:14">
      <c r="A7" s="12" t="s">
        <v>1</v>
      </c>
      <c r="B7" s="6">
        <v>3</v>
      </c>
      <c r="C7" s="6" t="s">
        <v>35</v>
      </c>
      <c r="D7" s="24">
        <v>362.96499999999997</v>
      </c>
      <c r="E7" s="25">
        <v>64</v>
      </c>
      <c r="F7" s="24">
        <f>D7+E7</f>
        <v>426.96499999999997</v>
      </c>
      <c r="G7" s="26">
        <v>64.230828000000002</v>
      </c>
      <c r="H7" s="27">
        <v>10.371845</v>
      </c>
      <c r="I7" s="63" t="s">
        <v>116</v>
      </c>
      <c r="J7" s="63" t="s">
        <v>166</v>
      </c>
      <c r="K7" s="63" t="s">
        <v>141</v>
      </c>
      <c r="L7" s="27" t="s">
        <v>217</v>
      </c>
      <c r="M7" s="63" t="s">
        <v>422</v>
      </c>
      <c r="N7" s="63" t="s">
        <v>193</v>
      </c>
    </row>
    <row r="8" spans="1:14">
      <c r="A8" s="12" t="s">
        <v>1</v>
      </c>
      <c r="B8" s="6">
        <v>4</v>
      </c>
      <c r="C8" s="6" t="s">
        <v>35</v>
      </c>
      <c r="D8" s="24">
        <v>326.06200000000001</v>
      </c>
      <c r="E8" s="25">
        <v>64</v>
      </c>
      <c r="F8" s="24">
        <f>D8+E8</f>
        <v>390.06200000000001</v>
      </c>
      <c r="G8" s="26">
        <v>64.232405999999997</v>
      </c>
      <c r="H8" s="27">
        <v>10.380896</v>
      </c>
      <c r="I8" s="63" t="s">
        <v>117</v>
      </c>
      <c r="J8" s="63" t="s">
        <v>167</v>
      </c>
      <c r="K8" s="63" t="s">
        <v>142</v>
      </c>
      <c r="L8" s="27" t="s">
        <v>217</v>
      </c>
      <c r="M8" s="63" t="s">
        <v>423</v>
      </c>
      <c r="N8" s="63" t="s">
        <v>194</v>
      </c>
    </row>
    <row r="9" spans="1:14">
      <c r="A9" s="12" t="s">
        <v>1</v>
      </c>
      <c r="B9" s="6">
        <v>5</v>
      </c>
      <c r="C9" s="6" t="s">
        <v>35</v>
      </c>
      <c r="D9" s="24">
        <v>304.15699999999998</v>
      </c>
      <c r="E9" s="25">
        <v>64</v>
      </c>
      <c r="F9" s="24">
        <f t="shared" si="0"/>
        <v>368.15699999999998</v>
      </c>
      <c r="G9" s="26">
        <v>64.235125999999994</v>
      </c>
      <c r="H9" s="27">
        <v>10.371195</v>
      </c>
      <c r="I9" s="63" t="s">
        <v>118</v>
      </c>
      <c r="J9" s="63" t="s">
        <v>168</v>
      </c>
      <c r="K9" s="63" t="s">
        <v>143</v>
      </c>
      <c r="L9" s="27" t="s">
        <v>217</v>
      </c>
      <c r="M9" s="63" t="s">
        <v>424</v>
      </c>
      <c r="N9" s="63" t="s">
        <v>195</v>
      </c>
    </row>
    <row r="10" spans="1:14">
      <c r="A10" s="12" t="s">
        <v>1</v>
      </c>
      <c r="B10" s="6">
        <v>6</v>
      </c>
      <c r="C10" s="6" t="s">
        <v>35</v>
      </c>
      <c r="D10" s="24">
        <v>302.13799999999998</v>
      </c>
      <c r="E10" s="25">
        <v>64</v>
      </c>
      <c r="F10" s="24">
        <f t="shared" si="0"/>
        <v>366.13799999999998</v>
      </c>
      <c r="G10" s="26">
        <v>64.233710000000002</v>
      </c>
      <c r="H10" s="27">
        <v>10.364704</v>
      </c>
      <c r="I10" s="63" t="s">
        <v>119</v>
      </c>
      <c r="J10" s="63" t="s">
        <v>169</v>
      </c>
      <c r="K10" s="63" t="s">
        <v>144</v>
      </c>
      <c r="L10" s="27" t="s">
        <v>217</v>
      </c>
      <c r="M10" s="63" t="s">
        <v>425</v>
      </c>
      <c r="N10" s="63" t="s">
        <v>196</v>
      </c>
    </row>
    <row r="11" spans="1:14">
      <c r="A11" s="12" t="s">
        <v>1</v>
      </c>
      <c r="B11" s="6">
        <v>7</v>
      </c>
      <c r="C11" s="6" t="s">
        <v>35</v>
      </c>
      <c r="D11" s="24">
        <v>282.35399999999998</v>
      </c>
      <c r="E11" s="25">
        <v>64</v>
      </c>
      <c r="F11" s="24">
        <f t="shared" si="0"/>
        <v>346.35399999999998</v>
      </c>
      <c r="G11" s="26">
        <v>64.233147000000002</v>
      </c>
      <c r="H11" s="27">
        <v>10.359188</v>
      </c>
      <c r="I11" s="63" t="s">
        <v>120</v>
      </c>
      <c r="J11" s="63" t="s">
        <v>170</v>
      </c>
      <c r="K11" s="63" t="s">
        <v>145</v>
      </c>
      <c r="L11" s="27" t="s">
        <v>217</v>
      </c>
      <c r="M11" s="63" t="s">
        <v>426</v>
      </c>
      <c r="N11" s="63" t="s">
        <v>197</v>
      </c>
    </row>
    <row r="12" spans="1:14">
      <c r="A12" s="12" t="s">
        <v>1</v>
      </c>
      <c r="B12" s="6">
        <v>8</v>
      </c>
      <c r="C12" s="6" t="s">
        <v>35</v>
      </c>
      <c r="D12" s="24">
        <v>383.584</v>
      </c>
      <c r="E12" s="25">
        <v>64</v>
      </c>
      <c r="F12" s="24">
        <f t="shared" si="0"/>
        <v>447.584</v>
      </c>
      <c r="G12" s="26">
        <v>64.222040000000007</v>
      </c>
      <c r="H12" s="27">
        <v>10.372260000000001</v>
      </c>
      <c r="I12" s="63" t="s">
        <v>121</v>
      </c>
      <c r="J12" s="63" t="s">
        <v>171</v>
      </c>
      <c r="K12" s="63" t="s">
        <v>146</v>
      </c>
      <c r="L12" s="27" t="s">
        <v>217</v>
      </c>
      <c r="M12" s="63" t="s">
        <v>427</v>
      </c>
      <c r="N12" s="63" t="s">
        <v>198</v>
      </c>
    </row>
    <row r="13" spans="1:14">
      <c r="A13" s="12" t="s">
        <v>1</v>
      </c>
      <c r="B13" s="6">
        <v>9</v>
      </c>
      <c r="C13" s="6" t="s">
        <v>35</v>
      </c>
      <c r="D13" s="24">
        <v>364.983</v>
      </c>
      <c r="E13" s="25">
        <v>64</v>
      </c>
      <c r="F13" s="24">
        <f t="shared" si="0"/>
        <v>428.983</v>
      </c>
      <c r="G13" s="26">
        <v>64.222937000000002</v>
      </c>
      <c r="H13" s="27">
        <v>10.366744000000001</v>
      </c>
      <c r="I13" s="63" t="s">
        <v>122</v>
      </c>
      <c r="J13" s="63" t="s">
        <v>172</v>
      </c>
      <c r="K13" s="63" t="s">
        <v>147</v>
      </c>
      <c r="L13" s="27" t="s">
        <v>217</v>
      </c>
      <c r="M13" s="63" t="s">
        <v>428</v>
      </c>
      <c r="N13" s="63" t="s">
        <v>199</v>
      </c>
    </row>
    <row r="14" spans="1:14">
      <c r="A14" s="12" t="s">
        <v>1</v>
      </c>
      <c r="B14" s="6">
        <v>10</v>
      </c>
      <c r="C14" s="6" t="s">
        <v>35</v>
      </c>
      <c r="D14" s="24">
        <v>324.90499999999997</v>
      </c>
      <c r="E14" s="25">
        <v>64</v>
      </c>
      <c r="F14" s="24">
        <f t="shared" si="0"/>
        <v>388.90499999999997</v>
      </c>
      <c r="G14" s="26">
        <v>64.223686999999998</v>
      </c>
      <c r="H14" s="27">
        <v>10.361344000000001</v>
      </c>
      <c r="I14" s="63" t="s">
        <v>123</v>
      </c>
      <c r="J14" s="63" t="s">
        <v>173</v>
      </c>
      <c r="K14" s="63" t="s">
        <v>148</v>
      </c>
      <c r="L14" s="27" t="s">
        <v>217</v>
      </c>
      <c r="M14" s="63" t="s">
        <v>429</v>
      </c>
      <c r="N14" s="63" t="s">
        <v>200</v>
      </c>
    </row>
    <row r="15" spans="1:14">
      <c r="A15" s="12" t="s">
        <v>1</v>
      </c>
      <c r="B15" s="6">
        <v>11</v>
      </c>
      <c r="C15" s="6" t="s">
        <v>35</v>
      </c>
      <c r="D15" s="24">
        <v>304.83999999999997</v>
      </c>
      <c r="E15" s="25">
        <v>64</v>
      </c>
      <c r="F15" s="24">
        <f t="shared" si="0"/>
        <v>368.84</v>
      </c>
      <c r="G15" s="26">
        <v>64.227767999999998</v>
      </c>
      <c r="H15" s="27">
        <v>10.356261</v>
      </c>
      <c r="I15" s="63" t="s">
        <v>124</v>
      </c>
      <c r="J15" s="63" t="s">
        <v>174</v>
      </c>
      <c r="K15" s="63" t="s">
        <v>149</v>
      </c>
      <c r="L15" s="27" t="s">
        <v>217</v>
      </c>
      <c r="M15" s="63" t="s">
        <v>430</v>
      </c>
      <c r="N15" s="63" t="s">
        <v>201</v>
      </c>
    </row>
    <row r="16" spans="1:14">
      <c r="A16" s="12" t="s">
        <v>1</v>
      </c>
      <c r="B16" s="6">
        <v>12</v>
      </c>
      <c r="C16" s="6" t="s">
        <v>35</v>
      </c>
      <c r="D16" s="24">
        <v>306.87200000000001</v>
      </c>
      <c r="E16" s="25">
        <v>64</v>
      </c>
      <c r="F16" s="24">
        <f t="shared" si="0"/>
        <v>370.87200000000001</v>
      </c>
      <c r="G16" s="26">
        <v>64.228714999999994</v>
      </c>
      <c r="H16" s="27">
        <v>10.36017</v>
      </c>
      <c r="I16" s="63" t="s">
        <v>125</v>
      </c>
      <c r="J16" s="63" t="s">
        <v>175</v>
      </c>
      <c r="K16" s="63" t="s">
        <v>150</v>
      </c>
      <c r="L16" s="27" t="s">
        <v>217</v>
      </c>
      <c r="M16" s="63" t="s">
        <v>431</v>
      </c>
      <c r="N16" s="63" t="s">
        <v>202</v>
      </c>
    </row>
    <row r="17" spans="1:14">
      <c r="A17" s="12" t="s">
        <v>1</v>
      </c>
      <c r="B17" s="6">
        <v>13</v>
      </c>
      <c r="C17" s="6" t="s">
        <v>35</v>
      </c>
      <c r="D17" s="24">
        <v>376.65899999999999</v>
      </c>
      <c r="E17" s="25">
        <v>64</v>
      </c>
      <c r="F17" s="24">
        <f t="shared" si="0"/>
        <v>440.65899999999999</v>
      </c>
      <c r="G17" s="26">
        <v>64.221613000000005</v>
      </c>
      <c r="H17" s="27">
        <v>10.379189999999999</v>
      </c>
      <c r="I17" s="63" t="s">
        <v>126</v>
      </c>
      <c r="J17" s="63" t="s">
        <v>176</v>
      </c>
      <c r="K17" s="63" t="s">
        <v>151</v>
      </c>
      <c r="L17" s="27" t="s">
        <v>217</v>
      </c>
      <c r="M17" s="63" t="s">
        <v>432</v>
      </c>
      <c r="N17" s="63" t="s">
        <v>203</v>
      </c>
    </row>
    <row r="18" spans="1:14">
      <c r="A18" s="12" t="s">
        <v>1</v>
      </c>
      <c r="B18" s="6">
        <v>14</v>
      </c>
      <c r="C18" s="6" t="s">
        <v>35</v>
      </c>
      <c r="D18" s="24">
        <v>371.71199999999999</v>
      </c>
      <c r="E18" s="25">
        <v>64</v>
      </c>
      <c r="F18" s="24">
        <f t="shared" si="0"/>
        <v>435.71199999999999</v>
      </c>
      <c r="G18" s="26">
        <v>64.218485999999999</v>
      </c>
      <c r="H18" s="27">
        <v>10.37555</v>
      </c>
      <c r="I18" s="63" t="s">
        <v>127</v>
      </c>
      <c r="J18" s="63" t="s">
        <v>177</v>
      </c>
      <c r="K18" s="63" t="s">
        <v>152</v>
      </c>
      <c r="L18" s="27" t="s">
        <v>217</v>
      </c>
      <c r="M18" s="63" t="s">
        <v>433</v>
      </c>
      <c r="N18" s="63" t="s">
        <v>204</v>
      </c>
    </row>
    <row r="19" spans="1:14">
      <c r="A19" s="12" t="s">
        <v>1</v>
      </c>
      <c r="B19" s="6">
        <v>15</v>
      </c>
      <c r="C19" s="6" t="s">
        <v>35</v>
      </c>
      <c r="D19" s="24">
        <v>370.39499999999998</v>
      </c>
      <c r="E19" s="25">
        <v>64</v>
      </c>
      <c r="F19" s="24">
        <f t="shared" si="0"/>
        <v>434.39499999999998</v>
      </c>
      <c r="G19" s="26">
        <v>64.218511000000007</v>
      </c>
      <c r="H19" s="27">
        <v>10.382095</v>
      </c>
      <c r="I19" s="63" t="s">
        <v>128</v>
      </c>
      <c r="J19" s="63" t="s">
        <v>178</v>
      </c>
      <c r="K19" s="63" t="s">
        <v>153</v>
      </c>
      <c r="L19" s="27" t="s">
        <v>217</v>
      </c>
      <c r="M19" s="63" t="s">
        <v>434</v>
      </c>
      <c r="N19" s="63" t="s">
        <v>205</v>
      </c>
    </row>
    <row r="20" spans="1:14">
      <c r="A20" s="12" t="s">
        <v>1</v>
      </c>
      <c r="B20" s="6">
        <v>16</v>
      </c>
      <c r="C20" s="6" t="s">
        <v>35</v>
      </c>
      <c r="D20" s="24">
        <v>354.65699999999998</v>
      </c>
      <c r="E20" s="25">
        <v>64</v>
      </c>
      <c r="F20" s="24">
        <f t="shared" si="0"/>
        <v>418.65699999999998</v>
      </c>
      <c r="G20" s="26">
        <v>64.215674000000007</v>
      </c>
      <c r="H20" s="27">
        <v>10.382909</v>
      </c>
      <c r="I20" s="63" t="s">
        <v>129</v>
      </c>
      <c r="J20" s="63" t="s">
        <v>179</v>
      </c>
      <c r="K20" s="63" t="s">
        <v>154</v>
      </c>
      <c r="L20" s="27" t="s">
        <v>217</v>
      </c>
      <c r="M20" s="63" t="s">
        <v>435</v>
      </c>
      <c r="N20" s="63" t="s">
        <v>206</v>
      </c>
    </row>
    <row r="21" spans="1:14">
      <c r="A21" s="12" t="s">
        <v>1</v>
      </c>
      <c r="B21" s="6">
        <v>17</v>
      </c>
      <c r="C21" s="6" t="s">
        <v>35</v>
      </c>
      <c r="D21" s="24">
        <v>332.61599999999999</v>
      </c>
      <c r="E21" s="25">
        <v>64</v>
      </c>
      <c r="F21" s="24">
        <f t="shared" si="0"/>
        <v>396.61599999999999</v>
      </c>
      <c r="G21" s="26">
        <v>64.213009999999997</v>
      </c>
      <c r="H21" s="27">
        <v>10.386760000000001</v>
      </c>
      <c r="I21" s="63" t="s">
        <v>130</v>
      </c>
      <c r="J21" s="63" t="s">
        <v>180</v>
      </c>
      <c r="K21" s="63" t="s">
        <v>155</v>
      </c>
      <c r="L21" s="27" t="s">
        <v>217</v>
      </c>
      <c r="M21" s="63" t="s">
        <v>436</v>
      </c>
      <c r="N21" s="63" t="s">
        <v>207</v>
      </c>
    </row>
    <row r="22" spans="1:14">
      <c r="A22" s="12" t="s">
        <v>1</v>
      </c>
      <c r="B22" s="6">
        <v>18</v>
      </c>
      <c r="C22" s="6" t="s">
        <v>35</v>
      </c>
      <c r="D22" s="24">
        <v>332.34800000000001</v>
      </c>
      <c r="E22" s="25">
        <v>64</v>
      </c>
      <c r="F22" s="24">
        <f t="shared" si="0"/>
        <v>396.34800000000001</v>
      </c>
      <c r="G22" s="26">
        <v>64.212620000000001</v>
      </c>
      <c r="H22" s="27">
        <v>10.382618000000001</v>
      </c>
      <c r="I22" s="63" t="s">
        <v>131</v>
      </c>
      <c r="J22" s="63" t="s">
        <v>181</v>
      </c>
      <c r="K22" s="63" t="s">
        <v>156</v>
      </c>
      <c r="L22" s="27" t="s">
        <v>217</v>
      </c>
      <c r="M22" s="63" t="s">
        <v>437</v>
      </c>
      <c r="N22" s="63" t="s">
        <v>208</v>
      </c>
    </row>
    <row r="23" spans="1:14">
      <c r="A23" s="12" t="s">
        <v>1</v>
      </c>
      <c r="B23" s="6">
        <v>19</v>
      </c>
      <c r="C23" s="6" t="s">
        <v>35</v>
      </c>
      <c r="D23" s="24">
        <v>349.20100000000002</v>
      </c>
      <c r="E23" s="25">
        <v>64</v>
      </c>
      <c r="F23" s="24">
        <f t="shared" si="0"/>
        <v>413.20100000000002</v>
      </c>
      <c r="G23" s="26">
        <v>64.213965000000002</v>
      </c>
      <c r="H23" s="27">
        <v>10.379222</v>
      </c>
      <c r="I23" s="63" t="s">
        <v>132</v>
      </c>
      <c r="J23" s="63" t="s">
        <v>182</v>
      </c>
      <c r="K23" s="63" t="s">
        <v>157</v>
      </c>
      <c r="L23" s="27" t="s">
        <v>217</v>
      </c>
      <c r="M23" s="63" t="s">
        <v>438</v>
      </c>
      <c r="N23" s="63" t="s">
        <v>209</v>
      </c>
    </row>
    <row r="24" spans="1:14">
      <c r="A24" s="12" t="s">
        <v>1</v>
      </c>
      <c r="B24" s="6">
        <v>20</v>
      </c>
      <c r="C24" s="6" t="s">
        <v>35</v>
      </c>
      <c r="D24" s="24">
        <v>342.37200000000001</v>
      </c>
      <c r="E24" s="25">
        <v>64</v>
      </c>
      <c r="F24" s="24">
        <f t="shared" si="0"/>
        <v>406.37200000000001</v>
      </c>
      <c r="G24" s="26">
        <v>64.215294</v>
      </c>
      <c r="H24" s="27">
        <v>10.375909999999999</v>
      </c>
      <c r="I24" s="63" t="s">
        <v>133</v>
      </c>
      <c r="J24" s="63" t="s">
        <v>183</v>
      </c>
      <c r="K24" s="63" t="s">
        <v>158</v>
      </c>
      <c r="L24" s="27" t="s">
        <v>217</v>
      </c>
      <c r="M24" s="63" t="s">
        <v>439</v>
      </c>
      <c r="N24" s="63" t="s">
        <v>210</v>
      </c>
    </row>
    <row r="25" spans="1:14">
      <c r="A25" s="12" t="s">
        <v>1</v>
      </c>
      <c r="B25" s="6">
        <v>21</v>
      </c>
      <c r="C25" s="6" t="s">
        <v>35</v>
      </c>
      <c r="D25" s="24">
        <v>324.65699999999998</v>
      </c>
      <c r="E25" s="25">
        <v>64</v>
      </c>
      <c r="F25" s="24">
        <f t="shared" si="0"/>
        <v>388.65699999999998</v>
      </c>
      <c r="G25" s="26">
        <v>64.217427999999998</v>
      </c>
      <c r="H25" s="27">
        <v>10.365466</v>
      </c>
      <c r="I25" s="63" t="s">
        <v>134</v>
      </c>
      <c r="J25" s="63" t="s">
        <v>184</v>
      </c>
      <c r="K25" s="63" t="s">
        <v>159</v>
      </c>
      <c r="L25" s="27" t="s">
        <v>217</v>
      </c>
      <c r="M25" s="63" t="s">
        <v>440</v>
      </c>
      <c r="N25" s="63" t="s">
        <v>211</v>
      </c>
    </row>
    <row r="26" spans="1:14">
      <c r="A26" s="12" t="s">
        <v>1</v>
      </c>
      <c r="B26" s="6">
        <v>22</v>
      </c>
      <c r="C26" s="6" t="s">
        <v>35</v>
      </c>
      <c r="D26" s="24">
        <v>339.93599999999998</v>
      </c>
      <c r="E26" s="25">
        <v>64</v>
      </c>
      <c r="F26" s="24">
        <f t="shared" si="0"/>
        <v>403.93599999999998</v>
      </c>
      <c r="G26" s="26">
        <v>64.219413000000003</v>
      </c>
      <c r="H26" s="27">
        <v>10.362273999999999</v>
      </c>
      <c r="I26" s="63" t="s">
        <v>135</v>
      </c>
      <c r="J26" s="63" t="s">
        <v>185</v>
      </c>
      <c r="K26" s="63" t="s">
        <v>160</v>
      </c>
      <c r="L26" s="27" t="s">
        <v>217</v>
      </c>
      <c r="M26" s="63" t="s">
        <v>441</v>
      </c>
      <c r="N26" s="63" t="s">
        <v>212</v>
      </c>
    </row>
    <row r="27" spans="1:14">
      <c r="A27" s="12" t="s">
        <v>1</v>
      </c>
      <c r="B27" s="6">
        <v>23</v>
      </c>
      <c r="C27" s="6" t="s">
        <v>35</v>
      </c>
      <c r="D27" s="24">
        <v>320.791</v>
      </c>
      <c r="E27" s="25">
        <v>64</v>
      </c>
      <c r="F27" s="24">
        <f t="shared" si="0"/>
        <v>384.791</v>
      </c>
      <c r="G27" s="26">
        <v>64.220551</v>
      </c>
      <c r="H27" s="27">
        <v>10.357687</v>
      </c>
      <c r="I27" s="63" t="s">
        <v>136</v>
      </c>
      <c r="J27" s="63" t="s">
        <v>186</v>
      </c>
      <c r="K27" s="63" t="s">
        <v>161</v>
      </c>
      <c r="L27" s="27" t="s">
        <v>217</v>
      </c>
      <c r="M27" s="63" t="s">
        <v>442</v>
      </c>
      <c r="N27" s="63" t="s">
        <v>213</v>
      </c>
    </row>
    <row r="28" spans="1:14">
      <c r="A28" s="12" t="s">
        <v>1</v>
      </c>
      <c r="B28" s="6">
        <v>24</v>
      </c>
      <c r="C28" s="6" t="s">
        <v>35</v>
      </c>
      <c r="D28" s="24">
        <v>289.702</v>
      </c>
      <c r="E28" s="25">
        <v>64</v>
      </c>
      <c r="F28" s="24">
        <f t="shared" si="0"/>
        <v>353.702</v>
      </c>
      <c r="G28" s="26">
        <v>64.223222000000007</v>
      </c>
      <c r="H28" s="27">
        <v>10.351111</v>
      </c>
      <c r="I28" s="63" t="s">
        <v>115</v>
      </c>
      <c r="J28" s="63" t="s">
        <v>187</v>
      </c>
      <c r="K28" s="63" t="s">
        <v>162</v>
      </c>
      <c r="L28" s="27" t="s">
        <v>217</v>
      </c>
      <c r="M28" s="63" t="s">
        <v>443</v>
      </c>
      <c r="N28" s="63" t="s">
        <v>214</v>
      </c>
    </row>
    <row r="29" spans="1:14">
      <c r="A29" s="65" t="s">
        <v>1</v>
      </c>
      <c r="B29" s="66">
        <v>25</v>
      </c>
      <c r="C29" s="66" t="s">
        <v>35</v>
      </c>
      <c r="D29" s="67">
        <v>249.50299999999999</v>
      </c>
      <c r="E29" s="68">
        <v>64</v>
      </c>
      <c r="F29" s="67">
        <f t="shared" si="0"/>
        <v>313.50299999999999</v>
      </c>
      <c r="G29" s="69">
        <v>64.223376999999999</v>
      </c>
      <c r="H29" s="70">
        <v>10.344205000000001</v>
      </c>
      <c r="I29" s="63" t="s">
        <v>137</v>
      </c>
      <c r="J29" s="63" t="s">
        <v>188</v>
      </c>
      <c r="K29" s="63" t="s">
        <v>163</v>
      </c>
      <c r="L29" s="27" t="s">
        <v>217</v>
      </c>
      <c r="M29" s="63" t="s">
        <v>444</v>
      </c>
      <c r="N29" s="63" t="s">
        <v>215</v>
      </c>
    </row>
    <row r="31" spans="1:14" ht="15.75" thickBot="1"/>
    <row r="32" spans="1:14" ht="29.25" customHeight="1" thickBot="1">
      <c r="A32" s="73"/>
      <c r="B32" s="74"/>
      <c r="C32" s="74"/>
      <c r="D32" s="75"/>
      <c r="E32" s="76"/>
      <c r="F32" s="75"/>
      <c r="G32" s="77"/>
      <c r="H32" s="77"/>
      <c r="I32" s="71" t="s">
        <v>220</v>
      </c>
      <c r="J32" s="21" t="s">
        <v>218</v>
      </c>
      <c r="K32" s="21" t="s">
        <v>90</v>
      </c>
      <c r="L32" s="21"/>
      <c r="M32" s="21"/>
      <c r="N32" s="21"/>
    </row>
    <row r="33" spans="1:14" ht="15.75" thickBot="1">
      <c r="A33" s="73"/>
      <c r="B33" s="74"/>
      <c r="C33" s="74"/>
      <c r="D33" s="75"/>
      <c r="E33" s="76"/>
      <c r="F33" s="75"/>
      <c r="G33" s="77"/>
      <c r="H33" s="77"/>
      <c r="I33" s="72" t="s">
        <v>8</v>
      </c>
      <c r="J33" s="3" t="s">
        <v>88</v>
      </c>
      <c r="K33" s="3" t="s">
        <v>219</v>
      </c>
      <c r="L33" s="3"/>
      <c r="M33" s="3"/>
      <c r="N33" s="3"/>
    </row>
    <row r="34" spans="1:14">
      <c r="A34" s="114" t="s">
        <v>267</v>
      </c>
      <c r="B34" s="115">
        <v>1</v>
      </c>
      <c r="C34" s="115" t="s">
        <v>12</v>
      </c>
      <c r="D34" s="116">
        <v>330</v>
      </c>
      <c r="E34" s="117">
        <v>30</v>
      </c>
      <c r="F34" s="116">
        <f t="shared" si="0"/>
        <v>360</v>
      </c>
      <c r="G34" s="118">
        <v>64.214100000000002</v>
      </c>
      <c r="H34" s="119">
        <v>10.411799999999999</v>
      </c>
      <c r="I34" s="135" t="s">
        <v>189</v>
      </c>
      <c r="J34" s="129" t="s">
        <v>231</v>
      </c>
      <c r="K34" s="129" t="s">
        <v>230</v>
      </c>
      <c r="L34" s="129"/>
      <c r="M34" s="129"/>
      <c r="N34" s="129"/>
    </row>
    <row r="35" spans="1:14">
      <c r="A35" s="120" t="s">
        <v>308</v>
      </c>
      <c r="B35" s="109" t="s">
        <v>12</v>
      </c>
      <c r="C35" s="109" t="s">
        <v>12</v>
      </c>
      <c r="D35" s="110" t="s">
        <v>12</v>
      </c>
      <c r="E35" s="111" t="s">
        <v>12</v>
      </c>
      <c r="F35" s="113">
        <v>10</v>
      </c>
      <c r="G35" s="112">
        <f>G4</f>
        <v>64.223352760000012</v>
      </c>
      <c r="H35" s="121">
        <f>H4</f>
        <v>10.36987216</v>
      </c>
      <c r="I35" s="130" t="s">
        <v>304</v>
      </c>
      <c r="J35" s="130" t="s">
        <v>305</v>
      </c>
      <c r="K35" s="130"/>
      <c r="L35" s="130"/>
      <c r="M35" s="130"/>
      <c r="N35" s="130"/>
    </row>
    <row r="36" spans="1:14" ht="15.75" thickBot="1">
      <c r="A36" s="122" t="s">
        <v>309</v>
      </c>
      <c r="B36" s="123" t="s">
        <v>12</v>
      </c>
      <c r="C36" s="123" t="s">
        <v>12</v>
      </c>
      <c r="D36" s="124" t="s">
        <v>12</v>
      </c>
      <c r="E36" s="125" t="s">
        <v>12</v>
      </c>
      <c r="F36" s="126">
        <v>10</v>
      </c>
      <c r="G36" s="127">
        <f>G53</f>
        <v>64.2154235</v>
      </c>
      <c r="H36" s="128">
        <f>H53</f>
        <v>10.417470250000001</v>
      </c>
      <c r="I36" s="131" t="s">
        <v>306</v>
      </c>
      <c r="J36" s="131" t="s">
        <v>307</v>
      </c>
      <c r="K36" s="131"/>
      <c r="L36" s="131"/>
      <c r="M36" s="131"/>
      <c r="N36" s="131"/>
    </row>
    <row r="37" spans="1:14" ht="15.75" thickBot="1">
      <c r="A37" s="122" t="s">
        <v>309</v>
      </c>
      <c r="B37" s="123" t="s">
        <v>12</v>
      </c>
      <c r="C37" s="123" t="s">
        <v>12</v>
      </c>
      <c r="D37" s="124" t="s">
        <v>12</v>
      </c>
      <c r="E37" s="125" t="s">
        <v>12</v>
      </c>
      <c r="F37" s="126">
        <v>10</v>
      </c>
      <c r="G37" s="127">
        <f>+G63</f>
        <v>64.903820999999994</v>
      </c>
      <c r="H37" s="127">
        <f>+H63</f>
        <v>10.893917000000002</v>
      </c>
      <c r="I37" s="131" t="s">
        <v>578</v>
      </c>
      <c r="J37" s="131" t="s">
        <v>579</v>
      </c>
      <c r="K37" s="131"/>
      <c r="L37" s="131"/>
      <c r="M37" s="131"/>
      <c r="N37" s="131"/>
    </row>
    <row r="38" spans="1:14" ht="15.75" thickBot="1"/>
    <row r="39" spans="1:14" ht="21.75" thickBot="1">
      <c r="A39" s="156" t="s">
        <v>329</v>
      </c>
      <c r="B39" s="157"/>
      <c r="C39" s="157"/>
      <c r="D39" s="157"/>
      <c r="E39" s="157"/>
      <c r="F39" s="157"/>
      <c r="G39" s="157"/>
      <c r="H39" s="158"/>
      <c r="I39" s="136" t="s">
        <v>110</v>
      </c>
      <c r="J39" s="137"/>
      <c r="K39" s="137"/>
      <c r="L39" s="137"/>
      <c r="M39" s="137"/>
      <c r="N39" s="137"/>
    </row>
    <row r="40" spans="1:14" ht="45.75" thickBot="1">
      <c r="A40" s="20" t="s">
        <v>103</v>
      </c>
      <c r="B40" s="20" t="s">
        <v>41</v>
      </c>
      <c r="C40" s="20" t="s">
        <v>36</v>
      </c>
      <c r="D40" s="21" t="s">
        <v>38</v>
      </c>
      <c r="E40" s="21" t="s">
        <v>40</v>
      </c>
      <c r="F40" s="21" t="s">
        <v>40</v>
      </c>
      <c r="G40" s="21" t="s">
        <v>336</v>
      </c>
      <c r="H40" s="21" t="s">
        <v>337</v>
      </c>
      <c r="I40" s="21" t="s">
        <v>106</v>
      </c>
      <c r="J40" s="21" t="s">
        <v>107</v>
      </c>
      <c r="K40" s="21" t="s">
        <v>108</v>
      </c>
      <c r="L40" s="21" t="s">
        <v>109</v>
      </c>
      <c r="M40" s="21" t="s">
        <v>111</v>
      </c>
      <c r="N40" s="21" t="s">
        <v>216</v>
      </c>
    </row>
    <row r="41" spans="1:14">
      <c r="A41" s="22"/>
      <c r="B41" s="3"/>
      <c r="C41" s="3"/>
      <c r="D41" s="3" t="s">
        <v>11</v>
      </c>
      <c r="E41" s="3" t="s">
        <v>34</v>
      </c>
      <c r="F41" s="3" t="s">
        <v>11</v>
      </c>
      <c r="G41" s="3" t="s">
        <v>10</v>
      </c>
      <c r="H41" s="3" t="s">
        <v>10</v>
      </c>
      <c r="I41" s="3" t="s">
        <v>105</v>
      </c>
      <c r="J41" s="3" t="s">
        <v>88</v>
      </c>
      <c r="K41" s="3" t="s">
        <v>8</v>
      </c>
      <c r="L41" s="3" t="s">
        <v>88</v>
      </c>
      <c r="M41" s="3" t="s">
        <v>112</v>
      </c>
      <c r="N41" s="3" t="s">
        <v>190</v>
      </c>
    </row>
    <row r="42" spans="1:14">
      <c r="A42" s="12" t="s">
        <v>290</v>
      </c>
      <c r="B42" s="6" t="s">
        <v>289</v>
      </c>
      <c r="C42" s="6" t="s">
        <v>35</v>
      </c>
      <c r="D42" s="24">
        <f>AVERAGE(D43:D47)</f>
        <v>5</v>
      </c>
      <c r="E42" s="25">
        <f>E43</f>
        <v>64</v>
      </c>
      <c r="F42" s="24">
        <f>D42+E42</f>
        <v>69</v>
      </c>
      <c r="G42" s="26">
        <f>AVERAGE(G43:G47)</f>
        <v>63.820488505555559</v>
      </c>
      <c r="H42" s="27">
        <f>AVERAGE(H43:H47)</f>
        <v>9.6282744166666667</v>
      </c>
      <c r="I42" s="63" t="s">
        <v>292</v>
      </c>
      <c r="J42" s="134" t="s">
        <v>576</v>
      </c>
      <c r="K42" s="63"/>
      <c r="L42" s="27"/>
      <c r="M42" s="63"/>
      <c r="N42" s="63"/>
    </row>
    <row r="43" spans="1:14">
      <c r="A43" s="12" t="s">
        <v>290</v>
      </c>
      <c r="B43" s="6">
        <v>1</v>
      </c>
      <c r="C43" s="6" t="s">
        <v>35</v>
      </c>
      <c r="D43" s="24">
        <v>5</v>
      </c>
      <c r="E43" s="25">
        <v>64</v>
      </c>
      <c r="F43" s="24">
        <f t="shared" ref="F43" si="1">D43+E43</f>
        <v>69</v>
      </c>
      <c r="G43" s="26">
        <v>63.823070694444446</v>
      </c>
      <c r="H43" s="27">
        <v>9.6309705277777784</v>
      </c>
      <c r="I43" s="63" t="s">
        <v>279</v>
      </c>
      <c r="J43" s="63" t="s">
        <v>284</v>
      </c>
      <c r="K43" s="27" t="s">
        <v>291</v>
      </c>
      <c r="L43" s="27" t="s">
        <v>291</v>
      </c>
      <c r="M43" s="63" t="s">
        <v>274</v>
      </c>
      <c r="N43" s="63" t="s">
        <v>269</v>
      </c>
    </row>
    <row r="44" spans="1:14">
      <c r="A44" s="12" t="s">
        <v>290</v>
      </c>
      <c r="B44" s="6">
        <v>2</v>
      </c>
      <c r="C44" s="6" t="s">
        <v>35</v>
      </c>
      <c r="D44" s="24">
        <v>5</v>
      </c>
      <c r="E44" s="25">
        <v>64</v>
      </c>
      <c r="F44" s="24">
        <f>D44+E44</f>
        <v>69</v>
      </c>
      <c r="G44" s="26">
        <v>63.822132972222228</v>
      </c>
      <c r="H44" s="27">
        <v>9.6256922777777785</v>
      </c>
      <c r="I44" s="63" t="s">
        <v>280</v>
      </c>
      <c r="J44" s="63" t="s">
        <v>285</v>
      </c>
      <c r="K44" s="27" t="s">
        <v>291</v>
      </c>
      <c r="L44" s="27" t="s">
        <v>291</v>
      </c>
      <c r="M44" s="63" t="s">
        <v>275</v>
      </c>
      <c r="N44" s="63" t="s">
        <v>270</v>
      </c>
    </row>
    <row r="45" spans="1:14">
      <c r="A45" s="12" t="s">
        <v>290</v>
      </c>
      <c r="B45" s="6">
        <v>3</v>
      </c>
      <c r="C45" s="6" t="s">
        <v>35</v>
      </c>
      <c r="D45" s="24">
        <v>5</v>
      </c>
      <c r="E45" s="25">
        <v>64</v>
      </c>
      <c r="F45" s="24">
        <f>D45+E45</f>
        <v>69</v>
      </c>
      <c r="G45" s="26">
        <v>63.820538055555559</v>
      </c>
      <c r="H45" s="27">
        <v>9.631619416666668</v>
      </c>
      <c r="I45" s="63" t="s">
        <v>281</v>
      </c>
      <c r="J45" s="63" t="s">
        <v>286</v>
      </c>
      <c r="K45" s="27" t="s">
        <v>291</v>
      </c>
      <c r="L45" s="27" t="s">
        <v>291</v>
      </c>
      <c r="M45" s="63" t="s">
        <v>276</v>
      </c>
      <c r="N45" s="63" t="s">
        <v>271</v>
      </c>
    </row>
    <row r="46" spans="1:14">
      <c r="A46" s="12" t="s">
        <v>290</v>
      </c>
      <c r="B46" s="6">
        <v>4</v>
      </c>
      <c r="C46" s="6" t="s">
        <v>35</v>
      </c>
      <c r="D46" s="24">
        <v>5</v>
      </c>
      <c r="E46" s="25">
        <v>64</v>
      </c>
      <c r="F46" s="24">
        <f>D46+E46</f>
        <v>69</v>
      </c>
      <c r="G46" s="26">
        <v>63.817735027777779</v>
      </c>
      <c r="H46" s="27">
        <v>9.6300521944444455</v>
      </c>
      <c r="I46" s="63" t="s">
        <v>282</v>
      </c>
      <c r="J46" s="63" t="s">
        <v>287</v>
      </c>
      <c r="K46" s="27" t="s">
        <v>291</v>
      </c>
      <c r="L46" s="27" t="s">
        <v>291</v>
      </c>
      <c r="M46" s="63" t="s">
        <v>277</v>
      </c>
      <c r="N46" s="63" t="s">
        <v>272</v>
      </c>
    </row>
    <row r="47" spans="1:14" ht="15.75" thickBot="1">
      <c r="A47" s="14" t="s">
        <v>290</v>
      </c>
      <c r="B47" s="8">
        <v>5</v>
      </c>
      <c r="C47" s="8" t="s">
        <v>35</v>
      </c>
      <c r="D47" s="102">
        <v>5</v>
      </c>
      <c r="E47" s="29">
        <v>64</v>
      </c>
      <c r="F47" s="102">
        <f t="shared" ref="F47" si="2">D47+E47</f>
        <v>69</v>
      </c>
      <c r="G47" s="103">
        <v>63.818965777777784</v>
      </c>
      <c r="H47" s="30">
        <v>9.6230376666666668</v>
      </c>
      <c r="I47" s="64" t="s">
        <v>283</v>
      </c>
      <c r="J47" s="64" t="s">
        <v>288</v>
      </c>
      <c r="K47" s="30" t="s">
        <v>291</v>
      </c>
      <c r="L47" s="30" t="s">
        <v>291</v>
      </c>
      <c r="M47" s="64" t="s">
        <v>278</v>
      </c>
      <c r="N47" s="64" t="s">
        <v>273</v>
      </c>
    </row>
    <row r="49" spans="1:14" ht="15.75" thickBot="1"/>
    <row r="50" spans="1:14" ht="21.75" thickBot="1">
      <c r="A50" s="156" t="s">
        <v>330</v>
      </c>
      <c r="B50" s="157"/>
      <c r="C50" s="157"/>
      <c r="D50" s="157"/>
      <c r="E50" s="157"/>
      <c r="F50" s="157"/>
      <c r="G50" s="157"/>
      <c r="H50" s="158"/>
      <c r="I50" s="136" t="s">
        <v>110</v>
      </c>
      <c r="J50" s="137"/>
      <c r="K50" s="137"/>
      <c r="L50" s="137"/>
      <c r="M50" s="137"/>
      <c r="N50" s="137"/>
    </row>
    <row r="51" spans="1:14" ht="45.75" thickBot="1">
      <c r="A51" s="20" t="s">
        <v>103</v>
      </c>
      <c r="B51" s="20" t="s">
        <v>41</v>
      </c>
      <c r="C51" s="20" t="s">
        <v>36</v>
      </c>
      <c r="D51" s="21" t="s">
        <v>38</v>
      </c>
      <c r="E51" s="21" t="s">
        <v>40</v>
      </c>
      <c r="F51" s="21" t="s">
        <v>40</v>
      </c>
      <c r="G51" s="21" t="s">
        <v>336</v>
      </c>
      <c r="H51" s="21" t="s">
        <v>337</v>
      </c>
      <c r="I51" s="21" t="s">
        <v>106</v>
      </c>
      <c r="J51" s="21" t="s">
        <v>107</v>
      </c>
      <c r="K51" s="21" t="s">
        <v>108</v>
      </c>
      <c r="L51" s="21" t="s">
        <v>109</v>
      </c>
      <c r="M51" s="21" t="s">
        <v>111</v>
      </c>
      <c r="N51" s="21" t="s">
        <v>216</v>
      </c>
    </row>
    <row r="52" spans="1:14">
      <c r="A52" s="22"/>
      <c r="B52" s="3"/>
      <c r="C52" s="3"/>
      <c r="D52" s="3" t="s">
        <v>11</v>
      </c>
      <c r="E52" s="3" t="s">
        <v>34</v>
      </c>
      <c r="F52" s="3" t="s">
        <v>11</v>
      </c>
      <c r="G52" s="3" t="s">
        <v>10</v>
      </c>
      <c r="H52" s="3" t="s">
        <v>10</v>
      </c>
      <c r="I52" s="3" t="s">
        <v>105</v>
      </c>
      <c r="J52" s="3" t="s">
        <v>88</v>
      </c>
      <c r="K52" s="3" t="s">
        <v>8</v>
      </c>
      <c r="L52" s="3" t="s">
        <v>88</v>
      </c>
      <c r="M52" s="3" t="s">
        <v>112</v>
      </c>
      <c r="N52" s="3" t="s">
        <v>190</v>
      </c>
    </row>
    <row r="53" spans="1:14">
      <c r="A53" s="12" t="s">
        <v>332</v>
      </c>
      <c r="B53" s="6" t="s">
        <v>445</v>
      </c>
      <c r="C53" s="6" t="s">
        <v>331</v>
      </c>
      <c r="D53" s="24">
        <f>AVERAGE(D54:D57)</f>
        <v>306.75</v>
      </c>
      <c r="E53" s="25">
        <f t="shared" ref="E53:H53" si="3">AVERAGE(E54:E57)</f>
        <v>94</v>
      </c>
      <c r="F53" s="24">
        <f t="shared" si="3"/>
        <v>400.75</v>
      </c>
      <c r="G53" s="26">
        <f t="shared" si="3"/>
        <v>64.2154235</v>
      </c>
      <c r="H53" s="27">
        <f t="shared" si="3"/>
        <v>10.417470250000001</v>
      </c>
      <c r="I53" s="63" t="s">
        <v>342</v>
      </c>
      <c r="J53" s="134" t="s">
        <v>576</v>
      </c>
      <c r="K53" s="63"/>
      <c r="L53" s="27"/>
      <c r="M53" s="63"/>
      <c r="N53" s="63"/>
    </row>
    <row r="54" spans="1:14">
      <c r="A54" s="12" t="s">
        <v>332</v>
      </c>
      <c r="B54" s="6">
        <v>1</v>
      </c>
      <c r="C54" s="6" t="s">
        <v>331</v>
      </c>
      <c r="D54" s="24">
        <v>304</v>
      </c>
      <c r="E54" s="25">
        <v>94</v>
      </c>
      <c r="F54" s="24">
        <f>D54+E54</f>
        <v>398</v>
      </c>
      <c r="G54" s="26">
        <v>64.217106999999999</v>
      </c>
      <c r="H54" s="27">
        <v>10.413418</v>
      </c>
      <c r="I54" s="63" t="s">
        <v>338</v>
      </c>
      <c r="J54" s="63" t="s">
        <v>412</v>
      </c>
      <c r="K54" s="27" t="s">
        <v>416</v>
      </c>
      <c r="L54" s="27" t="s">
        <v>291</v>
      </c>
      <c r="M54" s="63"/>
      <c r="N54" s="63" t="s">
        <v>71</v>
      </c>
    </row>
    <row r="55" spans="1:14">
      <c r="A55" s="12" t="s">
        <v>332</v>
      </c>
      <c r="B55" s="6">
        <v>2</v>
      </c>
      <c r="C55" s="6" t="s">
        <v>331</v>
      </c>
      <c r="D55" s="24">
        <v>310</v>
      </c>
      <c r="E55" s="25">
        <v>94</v>
      </c>
      <c r="F55" s="24">
        <f>D55+E55</f>
        <v>404</v>
      </c>
      <c r="G55" s="26">
        <v>64.217331000000001</v>
      </c>
      <c r="H55" s="27">
        <v>10.418167</v>
      </c>
      <c r="I55" s="63" t="s">
        <v>339</v>
      </c>
      <c r="J55" s="63" t="s">
        <v>413</v>
      </c>
      <c r="K55" s="27" t="s">
        <v>417</v>
      </c>
      <c r="L55" s="27" t="s">
        <v>291</v>
      </c>
      <c r="M55" s="63"/>
      <c r="N55" s="63" t="s">
        <v>71</v>
      </c>
    </row>
    <row r="56" spans="1:14">
      <c r="A56" s="12" t="s">
        <v>332</v>
      </c>
      <c r="B56" s="6">
        <v>3</v>
      </c>
      <c r="C56" s="6" t="s">
        <v>331</v>
      </c>
      <c r="D56" s="24">
        <v>303</v>
      </c>
      <c r="E56" s="25">
        <v>94</v>
      </c>
      <c r="F56" s="24">
        <f>D56+E56</f>
        <v>397</v>
      </c>
      <c r="G56" s="26">
        <v>64.214906999999997</v>
      </c>
      <c r="H56" s="27">
        <v>10.419238</v>
      </c>
      <c r="I56" s="63" t="s">
        <v>340</v>
      </c>
      <c r="J56" s="63" t="s">
        <v>414</v>
      </c>
      <c r="K56" s="27" t="s">
        <v>418</v>
      </c>
      <c r="L56" s="27" t="s">
        <v>291</v>
      </c>
      <c r="M56" s="63"/>
      <c r="N56" s="63" t="s">
        <v>71</v>
      </c>
    </row>
    <row r="57" spans="1:14">
      <c r="A57" s="12" t="s">
        <v>332</v>
      </c>
      <c r="B57" s="6">
        <v>4</v>
      </c>
      <c r="C57" s="6" t="s">
        <v>331</v>
      </c>
      <c r="D57" s="24">
        <v>310</v>
      </c>
      <c r="E57" s="25">
        <v>94</v>
      </c>
      <c r="F57" s="24">
        <f>D57+E57</f>
        <v>404</v>
      </c>
      <c r="G57" s="26">
        <v>64.212349000000003</v>
      </c>
      <c r="H57" s="27">
        <v>10.419058</v>
      </c>
      <c r="I57" s="63" t="s">
        <v>341</v>
      </c>
      <c r="J57" s="63" t="s">
        <v>415</v>
      </c>
      <c r="K57" s="27" t="s">
        <v>419</v>
      </c>
      <c r="L57" s="27" t="s">
        <v>291</v>
      </c>
      <c r="M57" s="63"/>
      <c r="N57" s="63" t="s">
        <v>71</v>
      </c>
    </row>
    <row r="59" spans="1:14" ht="15.75" thickBot="1">
      <c r="I59" s="101"/>
      <c r="J59" s="101"/>
    </row>
    <row r="60" spans="1:14" ht="21.75" thickBot="1">
      <c r="A60" s="156" t="s">
        <v>333</v>
      </c>
      <c r="B60" s="157"/>
      <c r="C60" s="157"/>
      <c r="D60" s="157"/>
      <c r="E60" s="157"/>
      <c r="F60" s="157"/>
      <c r="G60" s="157"/>
      <c r="H60" s="158"/>
      <c r="I60" s="136" t="s">
        <v>110</v>
      </c>
      <c r="J60" s="137"/>
      <c r="K60" s="137"/>
      <c r="L60" s="137"/>
      <c r="M60" s="137"/>
      <c r="N60" s="137"/>
    </row>
    <row r="61" spans="1:14" ht="45.75" thickBot="1">
      <c r="A61" s="20" t="s">
        <v>41</v>
      </c>
      <c r="B61" s="20" t="s">
        <v>41</v>
      </c>
      <c r="C61" s="20" t="s">
        <v>36</v>
      </c>
      <c r="D61" s="21" t="s">
        <v>38</v>
      </c>
      <c r="E61" s="21" t="s">
        <v>40</v>
      </c>
      <c r="F61" s="21" t="s">
        <v>40</v>
      </c>
      <c r="G61" s="21" t="s">
        <v>336</v>
      </c>
      <c r="H61" s="21" t="s">
        <v>337</v>
      </c>
      <c r="I61" s="21" t="s">
        <v>106</v>
      </c>
      <c r="J61" s="21" t="s">
        <v>107</v>
      </c>
      <c r="K61" s="21" t="s">
        <v>108</v>
      </c>
      <c r="L61" s="21" t="s">
        <v>109</v>
      </c>
      <c r="M61" s="21" t="s">
        <v>111</v>
      </c>
      <c r="N61" s="21" t="s">
        <v>216</v>
      </c>
    </row>
    <row r="62" spans="1:14">
      <c r="A62" s="22"/>
      <c r="B62" s="3"/>
      <c r="C62" s="3"/>
      <c r="D62" s="3" t="s">
        <v>11</v>
      </c>
      <c r="E62" s="3" t="s">
        <v>34</v>
      </c>
      <c r="F62" s="3" t="s">
        <v>11</v>
      </c>
      <c r="G62" s="3" t="s">
        <v>10</v>
      </c>
      <c r="H62" s="3" t="s">
        <v>10</v>
      </c>
      <c r="I62" s="3" t="s">
        <v>105</v>
      </c>
      <c r="J62" s="3" t="s">
        <v>88</v>
      </c>
      <c r="K62" s="3" t="s">
        <v>8</v>
      </c>
      <c r="L62" s="3" t="s">
        <v>88</v>
      </c>
      <c r="M62" s="3" t="s">
        <v>112</v>
      </c>
      <c r="N62" s="3" t="s">
        <v>190</v>
      </c>
    </row>
    <row r="63" spans="1:14">
      <c r="A63" s="12" t="s">
        <v>335</v>
      </c>
      <c r="B63" s="6" t="s">
        <v>420</v>
      </c>
      <c r="C63" s="6" t="s">
        <v>35</v>
      </c>
      <c r="D63" s="24">
        <f>AVERAGE(D64:D80)</f>
        <v>109.05882352941177</v>
      </c>
      <c r="E63" s="25">
        <f t="shared" ref="E63:H63" si="4">AVERAGE(E64:E80)</f>
        <v>64</v>
      </c>
      <c r="F63" s="24">
        <f t="shared" si="4"/>
        <v>173.05882352941177</v>
      </c>
      <c r="G63" s="26">
        <f t="shared" si="4"/>
        <v>64.903820999999994</v>
      </c>
      <c r="H63" s="27">
        <f t="shared" si="4"/>
        <v>10.893917000000002</v>
      </c>
      <c r="I63" s="63" t="s">
        <v>394</v>
      </c>
      <c r="J63" s="134" t="s">
        <v>577</v>
      </c>
      <c r="K63" s="63"/>
      <c r="L63" s="27"/>
      <c r="M63" s="63"/>
      <c r="N63" s="63"/>
    </row>
    <row r="64" spans="1:14">
      <c r="A64" s="12" t="s">
        <v>334</v>
      </c>
      <c r="B64" s="6" t="s">
        <v>320</v>
      </c>
      <c r="C64" s="6" t="s">
        <v>35</v>
      </c>
      <c r="D64" s="24">
        <v>80</v>
      </c>
      <c r="E64" s="25">
        <v>64</v>
      </c>
      <c r="F64" s="24">
        <f t="shared" ref="F64:F80" si="5">D64+E64</f>
        <v>144</v>
      </c>
      <c r="G64" s="26">
        <v>64.900676000000004</v>
      </c>
      <c r="H64" s="27">
        <v>10.891878999999999</v>
      </c>
      <c r="I64" s="63" t="s">
        <v>377</v>
      </c>
      <c r="J64" s="63" t="s">
        <v>343</v>
      </c>
      <c r="K64" s="63" t="s">
        <v>360</v>
      </c>
      <c r="L64" s="27" t="s">
        <v>217</v>
      </c>
      <c r="M64" s="63" t="s">
        <v>395</v>
      </c>
      <c r="N64" s="63" t="s">
        <v>71</v>
      </c>
    </row>
    <row r="65" spans="1:14">
      <c r="A65" s="12" t="s">
        <v>334</v>
      </c>
      <c r="B65" s="6" t="s">
        <v>319</v>
      </c>
      <c r="C65" s="6" t="s">
        <v>35</v>
      </c>
      <c r="D65" s="24">
        <v>96</v>
      </c>
      <c r="E65" s="25">
        <v>64</v>
      </c>
      <c r="F65" s="24">
        <f t="shared" si="5"/>
        <v>160</v>
      </c>
      <c r="G65" s="26">
        <v>64.903052000000002</v>
      </c>
      <c r="H65" s="27">
        <v>10.894189000000001</v>
      </c>
      <c r="I65" s="63" t="s">
        <v>378</v>
      </c>
      <c r="J65" s="63" t="s">
        <v>352</v>
      </c>
      <c r="K65" s="63" t="s">
        <v>369</v>
      </c>
      <c r="L65" s="27" t="s">
        <v>217</v>
      </c>
      <c r="M65" s="63" t="s">
        <v>404</v>
      </c>
      <c r="N65" s="63" t="s">
        <v>71</v>
      </c>
    </row>
    <row r="66" spans="1:14">
      <c r="A66" s="12" t="s">
        <v>334</v>
      </c>
      <c r="B66" s="6" t="s">
        <v>321</v>
      </c>
      <c r="C66" s="6" t="s">
        <v>35</v>
      </c>
      <c r="D66" s="24">
        <v>115</v>
      </c>
      <c r="E66" s="25">
        <v>64</v>
      </c>
      <c r="F66" s="24">
        <f t="shared" si="5"/>
        <v>179</v>
      </c>
      <c r="G66" s="26">
        <v>64.903792999999993</v>
      </c>
      <c r="H66" s="27">
        <v>10.90085</v>
      </c>
      <c r="I66" s="63" t="s">
        <v>379</v>
      </c>
      <c r="J66" s="63" t="s">
        <v>353</v>
      </c>
      <c r="K66" s="63" t="s">
        <v>370</v>
      </c>
      <c r="L66" s="27" t="s">
        <v>217</v>
      </c>
      <c r="M66" s="63" t="s">
        <v>405</v>
      </c>
      <c r="N66" s="63" t="s">
        <v>71</v>
      </c>
    </row>
    <row r="67" spans="1:14">
      <c r="A67" s="12" t="s">
        <v>334</v>
      </c>
      <c r="B67" s="6" t="s">
        <v>322</v>
      </c>
      <c r="C67" s="6" t="s">
        <v>35</v>
      </c>
      <c r="D67" s="24">
        <v>155</v>
      </c>
      <c r="E67" s="25">
        <v>64</v>
      </c>
      <c r="F67" s="24">
        <f t="shared" si="5"/>
        <v>219</v>
      </c>
      <c r="G67" s="26">
        <v>64.905090999999999</v>
      </c>
      <c r="H67" s="27">
        <v>10.908110000000001</v>
      </c>
      <c r="I67" s="63" t="s">
        <v>380</v>
      </c>
      <c r="J67" s="63" t="s">
        <v>354</v>
      </c>
      <c r="K67" s="63" t="s">
        <v>371</v>
      </c>
      <c r="L67" s="27" t="s">
        <v>217</v>
      </c>
      <c r="M67" s="63" t="s">
        <v>406</v>
      </c>
      <c r="N67" s="63" t="s">
        <v>71</v>
      </c>
    </row>
    <row r="68" spans="1:14">
      <c r="A68" s="12" t="s">
        <v>334</v>
      </c>
      <c r="B68" s="6" t="s">
        <v>323</v>
      </c>
      <c r="C68" s="6" t="s">
        <v>35</v>
      </c>
      <c r="D68" s="24">
        <v>132</v>
      </c>
      <c r="E68" s="25">
        <v>64</v>
      </c>
      <c r="F68" s="24">
        <f t="shared" si="5"/>
        <v>196</v>
      </c>
      <c r="G68" s="26">
        <v>64.906937999999997</v>
      </c>
      <c r="H68" s="27">
        <v>10.901595</v>
      </c>
      <c r="I68" s="63" t="s">
        <v>381</v>
      </c>
      <c r="J68" s="63" t="s">
        <v>355</v>
      </c>
      <c r="K68" s="63" t="s">
        <v>372</v>
      </c>
      <c r="L68" s="27" t="s">
        <v>217</v>
      </c>
      <c r="M68" s="63" t="s">
        <v>407</v>
      </c>
      <c r="N68" s="63" t="s">
        <v>71</v>
      </c>
    </row>
    <row r="69" spans="1:14">
      <c r="A69" s="12" t="s">
        <v>334</v>
      </c>
      <c r="B69" s="6" t="s">
        <v>325</v>
      </c>
      <c r="C69" s="6" t="s">
        <v>35</v>
      </c>
      <c r="D69" s="24">
        <v>144</v>
      </c>
      <c r="E69" s="25">
        <v>64</v>
      </c>
      <c r="F69" s="24">
        <f t="shared" si="5"/>
        <v>208</v>
      </c>
      <c r="G69" s="26">
        <v>64.908358000000007</v>
      </c>
      <c r="H69" s="27">
        <v>10.908004</v>
      </c>
      <c r="I69" s="63" t="s">
        <v>382</v>
      </c>
      <c r="J69" s="63" t="s">
        <v>356</v>
      </c>
      <c r="K69" s="63" t="s">
        <v>373</v>
      </c>
      <c r="L69" s="27" t="s">
        <v>217</v>
      </c>
      <c r="M69" s="63" t="s">
        <v>408</v>
      </c>
      <c r="N69" s="63" t="s">
        <v>71</v>
      </c>
    </row>
    <row r="70" spans="1:14">
      <c r="A70" s="12" t="s">
        <v>334</v>
      </c>
      <c r="B70" s="6" t="s">
        <v>326</v>
      </c>
      <c r="C70" s="6" t="s">
        <v>35</v>
      </c>
      <c r="D70" s="24">
        <v>140</v>
      </c>
      <c r="E70" s="25">
        <v>64</v>
      </c>
      <c r="F70" s="24">
        <f t="shared" si="5"/>
        <v>204</v>
      </c>
      <c r="G70" s="26">
        <v>64.910731999999996</v>
      </c>
      <c r="H70" s="27">
        <v>10.910285</v>
      </c>
      <c r="I70" s="63" t="s">
        <v>383</v>
      </c>
      <c r="J70" s="63" t="s">
        <v>357</v>
      </c>
      <c r="K70" s="63" t="s">
        <v>374</v>
      </c>
      <c r="L70" s="27" t="s">
        <v>217</v>
      </c>
      <c r="M70" s="63" t="s">
        <v>409</v>
      </c>
      <c r="N70" s="63" t="s">
        <v>71</v>
      </c>
    </row>
    <row r="71" spans="1:14">
      <c r="A71" s="12" t="s">
        <v>334</v>
      </c>
      <c r="B71" s="6" t="s">
        <v>328</v>
      </c>
      <c r="C71" s="6" t="s">
        <v>35</v>
      </c>
      <c r="D71" s="24">
        <v>117</v>
      </c>
      <c r="E71" s="25">
        <v>64</v>
      </c>
      <c r="F71" s="24">
        <f t="shared" si="5"/>
        <v>181</v>
      </c>
      <c r="G71" s="26">
        <v>64.911606000000006</v>
      </c>
      <c r="H71" s="27">
        <v>10.917859999999999</v>
      </c>
      <c r="I71" s="63" t="s">
        <v>384</v>
      </c>
      <c r="J71" s="63" t="s">
        <v>358</v>
      </c>
      <c r="K71" s="63" t="s">
        <v>375</v>
      </c>
      <c r="L71" s="27" t="s">
        <v>217</v>
      </c>
      <c r="M71" s="63" t="s">
        <v>410</v>
      </c>
      <c r="N71" s="63" t="s">
        <v>71</v>
      </c>
    </row>
    <row r="72" spans="1:14">
      <c r="A72" s="12" t="s">
        <v>334</v>
      </c>
      <c r="B72" s="6" t="s">
        <v>327</v>
      </c>
      <c r="C72" s="6" t="s">
        <v>35</v>
      </c>
      <c r="D72" s="24">
        <v>126</v>
      </c>
      <c r="E72" s="25">
        <v>64</v>
      </c>
      <c r="F72" s="24">
        <f t="shared" si="5"/>
        <v>190</v>
      </c>
      <c r="G72" s="26">
        <v>64.908294999999995</v>
      </c>
      <c r="H72" s="27">
        <v>10.917826</v>
      </c>
      <c r="I72" s="63" t="s">
        <v>385</v>
      </c>
      <c r="J72" s="63" t="s">
        <v>359</v>
      </c>
      <c r="K72" s="63" t="s">
        <v>376</v>
      </c>
      <c r="L72" s="27" t="s">
        <v>217</v>
      </c>
      <c r="M72" s="63" t="s">
        <v>411</v>
      </c>
      <c r="N72" s="63" t="s">
        <v>71</v>
      </c>
    </row>
    <row r="73" spans="1:14">
      <c r="A73" s="12" t="s">
        <v>334</v>
      </c>
      <c r="B73" s="6" t="s">
        <v>324</v>
      </c>
      <c r="C73" s="6" t="s">
        <v>35</v>
      </c>
      <c r="D73" s="24">
        <v>150</v>
      </c>
      <c r="E73" s="25">
        <v>64</v>
      </c>
      <c r="F73" s="24">
        <f t="shared" si="5"/>
        <v>214</v>
      </c>
      <c r="G73" s="26">
        <v>64.906262999999996</v>
      </c>
      <c r="H73" s="27">
        <v>10.913095</v>
      </c>
      <c r="I73" s="63" t="s">
        <v>386</v>
      </c>
      <c r="J73" s="63" t="s">
        <v>344</v>
      </c>
      <c r="K73" s="63" t="s">
        <v>361</v>
      </c>
      <c r="L73" s="27" t="s">
        <v>217</v>
      </c>
      <c r="M73" s="63" t="s">
        <v>396</v>
      </c>
      <c r="N73" s="63" t="s">
        <v>71</v>
      </c>
    </row>
    <row r="74" spans="1:14">
      <c r="A74" s="12" t="s">
        <v>334</v>
      </c>
      <c r="B74" s="6" t="s">
        <v>318</v>
      </c>
      <c r="C74" s="6" t="s">
        <v>35</v>
      </c>
      <c r="D74" s="24">
        <v>80</v>
      </c>
      <c r="E74" s="25">
        <v>64</v>
      </c>
      <c r="F74" s="24">
        <f t="shared" si="5"/>
        <v>144</v>
      </c>
      <c r="G74" s="26">
        <v>64.898362000000006</v>
      </c>
      <c r="H74" s="27">
        <v>10.885808000000001</v>
      </c>
      <c r="I74" s="63" t="s">
        <v>387</v>
      </c>
      <c r="J74" s="63" t="s">
        <v>345</v>
      </c>
      <c r="K74" s="63" t="s">
        <v>362</v>
      </c>
      <c r="L74" s="27" t="s">
        <v>217</v>
      </c>
      <c r="M74" s="63" t="s">
        <v>397</v>
      </c>
      <c r="N74" s="63" t="s">
        <v>71</v>
      </c>
    </row>
    <row r="75" spans="1:14">
      <c r="A75" s="12" t="s">
        <v>334</v>
      </c>
      <c r="B75" s="6" t="s">
        <v>317</v>
      </c>
      <c r="C75" s="6" t="s">
        <v>35</v>
      </c>
      <c r="D75" s="24">
        <v>89</v>
      </c>
      <c r="E75" s="25">
        <v>64</v>
      </c>
      <c r="F75" s="24">
        <f t="shared" si="5"/>
        <v>153</v>
      </c>
      <c r="G75" s="26">
        <v>64.900711000000001</v>
      </c>
      <c r="H75" s="27">
        <v>10.886063999999999</v>
      </c>
      <c r="I75" s="63" t="s">
        <v>388</v>
      </c>
      <c r="J75" s="63" t="s">
        <v>346</v>
      </c>
      <c r="K75" s="63" t="s">
        <v>363</v>
      </c>
      <c r="L75" s="27" t="s">
        <v>217</v>
      </c>
      <c r="M75" s="63" t="s">
        <v>398</v>
      </c>
      <c r="N75" s="63" t="s">
        <v>71</v>
      </c>
    </row>
    <row r="76" spans="1:14">
      <c r="A76" s="12" t="s">
        <v>334</v>
      </c>
      <c r="B76" s="6" t="s">
        <v>316</v>
      </c>
      <c r="C76" s="6" t="s">
        <v>35</v>
      </c>
      <c r="D76" s="24">
        <v>87</v>
      </c>
      <c r="E76" s="25">
        <v>64</v>
      </c>
      <c r="F76" s="24">
        <f t="shared" si="5"/>
        <v>151</v>
      </c>
      <c r="G76" s="26">
        <v>64.899673000000007</v>
      </c>
      <c r="H76" s="27">
        <v>10.877993</v>
      </c>
      <c r="I76" s="63" t="s">
        <v>389</v>
      </c>
      <c r="J76" s="63" t="s">
        <v>347</v>
      </c>
      <c r="K76" s="63" t="s">
        <v>364</v>
      </c>
      <c r="L76" s="27" t="s">
        <v>217</v>
      </c>
      <c r="M76" s="63" t="s">
        <v>399</v>
      </c>
      <c r="N76" s="63" t="s">
        <v>71</v>
      </c>
    </row>
    <row r="77" spans="1:14">
      <c r="A77" s="12" t="s">
        <v>334</v>
      </c>
      <c r="B77" s="6" t="s">
        <v>313</v>
      </c>
      <c r="C77" s="6" t="s">
        <v>35</v>
      </c>
      <c r="D77" s="24">
        <v>96</v>
      </c>
      <c r="E77" s="25">
        <v>64</v>
      </c>
      <c r="F77" s="24">
        <f t="shared" si="5"/>
        <v>160</v>
      </c>
      <c r="G77" s="26">
        <v>64.899056000000002</v>
      </c>
      <c r="H77" s="27">
        <v>10.872275999999999</v>
      </c>
      <c r="I77" s="63" t="s">
        <v>390</v>
      </c>
      <c r="J77" s="63" t="s">
        <v>348</v>
      </c>
      <c r="K77" s="63" t="s">
        <v>365</v>
      </c>
      <c r="L77" s="27" t="s">
        <v>217</v>
      </c>
      <c r="M77" s="63" t="s">
        <v>400</v>
      </c>
      <c r="N77" s="63" t="s">
        <v>71</v>
      </c>
    </row>
    <row r="78" spans="1:14">
      <c r="A78" s="12" t="s">
        <v>334</v>
      </c>
      <c r="B78" s="6" t="s">
        <v>312</v>
      </c>
      <c r="C78" s="6" t="s">
        <v>35</v>
      </c>
      <c r="D78" s="24">
        <v>65</v>
      </c>
      <c r="E78" s="25">
        <v>64</v>
      </c>
      <c r="F78" s="24">
        <f t="shared" si="5"/>
        <v>129</v>
      </c>
      <c r="G78" s="26">
        <v>64.898413000000005</v>
      </c>
      <c r="H78" s="27">
        <v>10.866034000000001</v>
      </c>
      <c r="I78" s="63" t="s">
        <v>391</v>
      </c>
      <c r="J78" s="63" t="s">
        <v>349</v>
      </c>
      <c r="K78" s="63" t="s">
        <v>366</v>
      </c>
      <c r="L78" s="27" t="s">
        <v>217</v>
      </c>
      <c r="M78" s="63" t="s">
        <v>401</v>
      </c>
      <c r="N78" s="63" t="s">
        <v>71</v>
      </c>
    </row>
    <row r="79" spans="1:14">
      <c r="A79" s="12" t="s">
        <v>334</v>
      </c>
      <c r="B79" s="6" t="s">
        <v>315</v>
      </c>
      <c r="C79" s="6" t="s">
        <v>35</v>
      </c>
      <c r="D79" s="24">
        <v>102</v>
      </c>
      <c r="E79" s="25">
        <v>64</v>
      </c>
      <c r="F79" s="24">
        <f t="shared" si="5"/>
        <v>166</v>
      </c>
      <c r="G79" s="26">
        <v>64.901695000000004</v>
      </c>
      <c r="H79" s="27">
        <v>10.875218</v>
      </c>
      <c r="I79" s="63" t="s">
        <v>392</v>
      </c>
      <c r="J79" s="63" t="s">
        <v>350</v>
      </c>
      <c r="K79" s="63" t="s">
        <v>367</v>
      </c>
      <c r="L79" s="27" t="s">
        <v>217</v>
      </c>
      <c r="M79" s="63" t="s">
        <v>402</v>
      </c>
      <c r="N79" s="63" t="s">
        <v>71</v>
      </c>
    </row>
    <row r="80" spans="1:14">
      <c r="A80" s="12" t="s">
        <v>334</v>
      </c>
      <c r="B80" s="6" t="s">
        <v>314</v>
      </c>
      <c r="C80" s="6" t="s">
        <v>35</v>
      </c>
      <c r="D80" s="24">
        <v>80</v>
      </c>
      <c r="E80" s="25">
        <v>64</v>
      </c>
      <c r="F80" s="24">
        <f t="shared" si="5"/>
        <v>144</v>
      </c>
      <c r="G80" s="26">
        <v>64.902242999999999</v>
      </c>
      <c r="H80" s="27">
        <v>10.869503</v>
      </c>
      <c r="I80" s="63" t="s">
        <v>393</v>
      </c>
      <c r="J80" s="63" t="s">
        <v>351</v>
      </c>
      <c r="K80" s="63" t="s">
        <v>368</v>
      </c>
      <c r="L80" s="27" t="s">
        <v>217</v>
      </c>
      <c r="M80" s="63" t="s">
        <v>403</v>
      </c>
      <c r="N80" s="63" t="s">
        <v>71</v>
      </c>
    </row>
    <row r="87" spans="7:14">
      <c r="G87" s="132"/>
      <c r="H87" s="132"/>
    </row>
    <row r="88" spans="7:14">
      <c r="G88" s="132"/>
      <c r="H88" s="132"/>
    </row>
    <row r="89" spans="7:14">
      <c r="G89" s="132"/>
      <c r="H89" s="132"/>
    </row>
    <row r="90" spans="7:14">
      <c r="G90" s="132"/>
      <c r="H90" s="132"/>
    </row>
    <row r="91" spans="7:14">
      <c r="G91" s="132"/>
      <c r="H91" s="132"/>
      <c r="M91" s="132"/>
      <c r="N91" s="132"/>
    </row>
    <row r="92" spans="7:14">
      <c r="G92" s="132"/>
      <c r="H92" s="132"/>
      <c r="M92" s="132"/>
      <c r="N92" s="132"/>
    </row>
    <row r="93" spans="7:14">
      <c r="G93" s="132"/>
      <c r="H93" s="132"/>
      <c r="M93" s="132"/>
      <c r="N93" s="132"/>
    </row>
    <row r="94" spans="7:14">
      <c r="G94" s="132"/>
      <c r="H94" s="132"/>
      <c r="M94" s="132"/>
      <c r="N94" s="132"/>
    </row>
    <row r="95" spans="7:14">
      <c r="G95" s="132"/>
      <c r="H95" s="132"/>
    </row>
    <row r="96" spans="7:14">
      <c r="G96" s="132"/>
      <c r="H96" s="132"/>
    </row>
    <row r="97" spans="3:10">
      <c r="C97" t="s">
        <v>533</v>
      </c>
      <c r="D97" t="s">
        <v>534</v>
      </c>
      <c r="E97" t="s">
        <v>535</v>
      </c>
      <c r="F97" t="s">
        <v>532</v>
      </c>
      <c r="G97" s="132" t="s">
        <v>536</v>
      </c>
      <c r="H97" s="132" t="s">
        <v>537</v>
      </c>
      <c r="I97" t="s">
        <v>538</v>
      </c>
    </row>
    <row r="98" spans="3:10">
      <c r="C98">
        <v>276079.35889999999</v>
      </c>
      <c r="D98">
        <v>7130804.1902999999</v>
      </c>
      <c r="E98">
        <v>350</v>
      </c>
      <c r="F98">
        <v>1</v>
      </c>
      <c r="G98" t="s">
        <v>547</v>
      </c>
      <c r="H98" t="s">
        <v>541</v>
      </c>
      <c r="I98" t="s">
        <v>542</v>
      </c>
      <c r="J98" s="28">
        <f t="shared" ref="J98:J122" si="6">+E98-D5</f>
        <v>-0.29199999999997317</v>
      </c>
    </row>
    <row r="99" spans="3:10">
      <c r="C99">
        <v>275859.8664</v>
      </c>
      <c r="D99">
        <v>7130801.4896</v>
      </c>
      <c r="E99">
        <v>370</v>
      </c>
      <c r="F99">
        <v>2</v>
      </c>
      <c r="G99" t="s">
        <v>548</v>
      </c>
      <c r="H99" t="s">
        <v>541</v>
      </c>
      <c r="I99" t="s">
        <v>542</v>
      </c>
      <c r="J99" s="28">
        <f t="shared" si="6"/>
        <v>-0.42899999999997362</v>
      </c>
    </row>
    <row r="100" spans="3:10">
      <c r="C100">
        <v>275648.15759999998</v>
      </c>
      <c r="D100">
        <v>7130902.5674000001</v>
      </c>
      <c r="E100">
        <v>361</v>
      </c>
      <c r="F100">
        <v>4</v>
      </c>
      <c r="G100" t="s">
        <v>546</v>
      </c>
      <c r="H100" t="s">
        <v>541</v>
      </c>
      <c r="I100" t="s">
        <v>542</v>
      </c>
      <c r="J100" s="28">
        <f t="shared" si="6"/>
        <v>-1.964999999999975</v>
      </c>
    </row>
    <row r="101" spans="3:10">
      <c r="C101">
        <v>276099.05820000003</v>
      </c>
      <c r="D101">
        <v>7131046.1151000001</v>
      </c>
      <c r="E101">
        <v>324</v>
      </c>
      <c r="F101">
        <v>5</v>
      </c>
      <c r="G101" t="s">
        <v>545</v>
      </c>
      <c r="H101" t="s">
        <v>541</v>
      </c>
      <c r="I101" t="s">
        <v>542</v>
      </c>
      <c r="J101" s="28">
        <f t="shared" si="6"/>
        <v>-2.0620000000000118</v>
      </c>
    </row>
    <row r="102" spans="3:10">
      <c r="C102">
        <v>275651.53039999999</v>
      </c>
      <c r="D102">
        <v>7131382.8030000003</v>
      </c>
      <c r="E102">
        <v>302</v>
      </c>
      <c r="F102">
        <v>7</v>
      </c>
      <c r="G102" t="s">
        <v>540</v>
      </c>
      <c r="H102" t="s">
        <v>541</v>
      </c>
      <c r="I102" t="s">
        <v>542</v>
      </c>
      <c r="J102" s="28">
        <f t="shared" si="6"/>
        <v>-2.1569999999999823</v>
      </c>
    </row>
    <row r="103" spans="3:10">
      <c r="C103">
        <v>275325.86119999998</v>
      </c>
      <c r="D103">
        <v>7131248.2740000002</v>
      </c>
      <c r="E103">
        <v>300</v>
      </c>
      <c r="F103">
        <v>8</v>
      </c>
      <c r="G103" t="s">
        <v>543</v>
      </c>
      <c r="H103" t="s">
        <v>541</v>
      </c>
      <c r="I103" t="s">
        <v>542</v>
      </c>
      <c r="J103" s="28">
        <f t="shared" si="6"/>
        <v>-2.1379999999999768</v>
      </c>
    </row>
    <row r="104" spans="3:10">
      <c r="C104">
        <v>275054.30050000001</v>
      </c>
      <c r="D104">
        <v>7131205.1884000003</v>
      </c>
      <c r="E104">
        <v>280</v>
      </c>
      <c r="F104">
        <v>9</v>
      </c>
      <c r="G104" t="s">
        <v>544</v>
      </c>
      <c r="H104" t="s">
        <v>541</v>
      </c>
      <c r="I104" t="s">
        <v>542</v>
      </c>
      <c r="J104" s="28">
        <f t="shared" si="6"/>
        <v>-2.353999999999985</v>
      </c>
    </row>
    <row r="105" spans="3:10">
      <c r="C105">
        <v>275597.0183</v>
      </c>
      <c r="D105">
        <v>7129923.7691000002</v>
      </c>
      <c r="E105">
        <v>380</v>
      </c>
      <c r="F105">
        <v>10</v>
      </c>
      <c r="G105" t="s">
        <v>555</v>
      </c>
      <c r="H105" t="s">
        <v>541</v>
      </c>
      <c r="I105" t="s">
        <v>542</v>
      </c>
      <c r="J105" s="28">
        <f t="shared" si="6"/>
        <v>-3.5840000000000032</v>
      </c>
    </row>
    <row r="106" spans="3:10">
      <c r="C106">
        <v>275337.16619999998</v>
      </c>
      <c r="D106">
        <v>7130043.0822000001</v>
      </c>
      <c r="E106">
        <v>362</v>
      </c>
      <c r="F106">
        <v>11</v>
      </c>
      <c r="G106" t="s">
        <v>554</v>
      </c>
      <c r="H106" t="s">
        <v>541</v>
      </c>
      <c r="I106" t="s">
        <v>542</v>
      </c>
      <c r="J106" s="28">
        <f t="shared" si="6"/>
        <v>-2.9830000000000041</v>
      </c>
    </row>
    <row r="107" spans="3:10">
      <c r="C107">
        <v>275081.79070000001</v>
      </c>
      <c r="D107">
        <v>7130145.5226999996</v>
      </c>
      <c r="E107">
        <v>324</v>
      </c>
      <c r="F107">
        <v>12</v>
      </c>
      <c r="G107" t="s">
        <v>552</v>
      </c>
      <c r="H107" t="s">
        <v>541</v>
      </c>
      <c r="I107" t="s">
        <v>542</v>
      </c>
      <c r="J107" s="28">
        <f t="shared" si="6"/>
        <v>-0.90499999999997272</v>
      </c>
    </row>
    <row r="108" spans="3:10">
      <c r="C108">
        <v>274868.86479999998</v>
      </c>
      <c r="D108">
        <v>7130617.3965999996</v>
      </c>
      <c r="E108">
        <v>304</v>
      </c>
      <c r="F108">
        <v>13</v>
      </c>
      <c r="G108" t="s">
        <v>550</v>
      </c>
      <c r="H108" t="s">
        <v>541</v>
      </c>
      <c r="I108" t="s">
        <v>542</v>
      </c>
      <c r="J108" s="28">
        <f t="shared" si="6"/>
        <v>-0.83999999999997499</v>
      </c>
    </row>
    <row r="109" spans="3:10">
      <c r="C109">
        <v>275065.78629999998</v>
      </c>
      <c r="D109">
        <v>7130708.8101000004</v>
      </c>
      <c r="E109">
        <v>305</v>
      </c>
      <c r="F109">
        <v>14</v>
      </c>
      <c r="G109" t="s">
        <v>549</v>
      </c>
      <c r="H109" t="s">
        <v>541</v>
      </c>
      <c r="I109" t="s">
        <v>542</v>
      </c>
      <c r="J109" s="28">
        <f t="shared" si="6"/>
        <v>-1.8720000000000141</v>
      </c>
    </row>
    <row r="110" spans="3:10">
      <c r="C110">
        <v>275929.10700000002</v>
      </c>
      <c r="D110">
        <v>7129851.8504999997</v>
      </c>
      <c r="E110">
        <v>376</v>
      </c>
      <c r="F110">
        <v>15</v>
      </c>
      <c r="G110" t="s">
        <v>556</v>
      </c>
      <c r="H110" t="s">
        <v>541</v>
      </c>
      <c r="I110" t="s">
        <v>542</v>
      </c>
      <c r="J110" s="28">
        <f t="shared" si="6"/>
        <v>-0.65899999999999181</v>
      </c>
    </row>
    <row r="111" spans="3:10">
      <c r="C111">
        <v>275727.52120000002</v>
      </c>
      <c r="D111">
        <v>7129516.9049000004</v>
      </c>
      <c r="E111">
        <v>370</v>
      </c>
      <c r="F111">
        <v>16</v>
      </c>
      <c r="G111" t="s">
        <v>559</v>
      </c>
      <c r="H111" t="s">
        <v>541</v>
      </c>
      <c r="I111" t="s">
        <v>542</v>
      </c>
      <c r="J111" s="28">
        <f t="shared" si="6"/>
        <v>-1.7119999999999891</v>
      </c>
    </row>
    <row r="112" spans="3:10">
      <c r="C112">
        <v>276044.69319999998</v>
      </c>
      <c r="D112">
        <v>7129496.6377999997</v>
      </c>
      <c r="E112">
        <v>370</v>
      </c>
      <c r="F112">
        <v>17</v>
      </c>
      <c r="G112" t="s">
        <v>560</v>
      </c>
      <c r="H112" t="s">
        <v>541</v>
      </c>
      <c r="I112" t="s">
        <v>542</v>
      </c>
      <c r="J112" s="28">
        <f t="shared" si="6"/>
        <v>-0.39499999999998181</v>
      </c>
    </row>
    <row r="113" spans="3:10">
      <c r="C113">
        <v>276061.21549999999</v>
      </c>
      <c r="D113">
        <v>7129178.2752</v>
      </c>
      <c r="E113">
        <v>354</v>
      </c>
      <c r="F113">
        <v>18</v>
      </c>
      <c r="G113" t="s">
        <v>566</v>
      </c>
      <c r="H113" t="s">
        <v>541</v>
      </c>
      <c r="I113" t="s">
        <v>542</v>
      </c>
      <c r="J113" s="28">
        <f t="shared" si="6"/>
        <v>-0.65699999999998226</v>
      </c>
    </row>
    <row r="114" spans="3:10">
      <c r="C114">
        <v>276226.1887</v>
      </c>
      <c r="D114">
        <v>7128868.4325999999</v>
      </c>
      <c r="E114">
        <v>330</v>
      </c>
      <c r="F114">
        <v>19</v>
      </c>
      <c r="G114" t="s">
        <v>571</v>
      </c>
      <c r="H114" t="s">
        <v>541</v>
      </c>
      <c r="I114" t="s">
        <v>542</v>
      </c>
      <c r="J114" s="28">
        <f t="shared" si="6"/>
        <v>-2.6159999999999854</v>
      </c>
    </row>
    <row r="115" spans="3:10">
      <c r="C115">
        <v>276022.42389999999</v>
      </c>
      <c r="D115">
        <v>7128839.7083000001</v>
      </c>
      <c r="E115">
        <v>330</v>
      </c>
      <c r="F115">
        <v>21</v>
      </c>
      <c r="G115" t="s">
        <v>572</v>
      </c>
      <c r="H115" t="s">
        <v>541</v>
      </c>
      <c r="I115" t="s">
        <v>542</v>
      </c>
      <c r="J115" s="28">
        <f t="shared" si="6"/>
        <v>-2.3480000000000132</v>
      </c>
    </row>
    <row r="116" spans="3:10">
      <c r="C116">
        <v>275868.7757</v>
      </c>
      <c r="D116">
        <v>7129001.2443000004</v>
      </c>
      <c r="E116">
        <v>345</v>
      </c>
      <c r="F116">
        <v>22</v>
      </c>
      <c r="G116" t="s">
        <v>568</v>
      </c>
      <c r="H116" t="s">
        <v>541</v>
      </c>
      <c r="I116" t="s">
        <v>542</v>
      </c>
      <c r="J116" s="28">
        <f t="shared" si="6"/>
        <v>-4.2010000000000218</v>
      </c>
    </row>
    <row r="117" spans="3:10">
      <c r="C117">
        <v>275719.11580000003</v>
      </c>
      <c r="D117">
        <v>7129160.6915999996</v>
      </c>
      <c r="E117">
        <v>340</v>
      </c>
      <c r="F117">
        <v>23</v>
      </c>
      <c r="G117" t="s">
        <v>567</v>
      </c>
      <c r="H117" t="s">
        <v>541</v>
      </c>
      <c r="I117" t="s">
        <v>542</v>
      </c>
      <c r="J117" s="28">
        <f t="shared" si="6"/>
        <v>-2.3720000000000141</v>
      </c>
    </row>
    <row r="118" spans="3:10">
      <c r="C118">
        <v>275230.55900000001</v>
      </c>
      <c r="D118">
        <v>7129434.9212999996</v>
      </c>
      <c r="E118">
        <v>322</v>
      </c>
      <c r="F118">
        <v>24</v>
      </c>
      <c r="G118" t="s">
        <v>561</v>
      </c>
      <c r="H118" t="s">
        <v>541</v>
      </c>
      <c r="I118" t="s">
        <v>542</v>
      </c>
      <c r="J118" s="28">
        <f t="shared" si="6"/>
        <v>-2.6569999999999823</v>
      </c>
    </row>
    <row r="119" spans="3:10">
      <c r="C119">
        <v>275092.07079999999</v>
      </c>
      <c r="D119">
        <v>7129666.9145</v>
      </c>
      <c r="E119">
        <v>340</v>
      </c>
      <c r="F119">
        <v>25</v>
      </c>
      <c r="G119" t="s">
        <v>558</v>
      </c>
      <c r="H119" t="s">
        <v>541</v>
      </c>
      <c r="I119" t="s">
        <v>542</v>
      </c>
      <c r="J119" s="28">
        <f t="shared" si="6"/>
        <v>6.4000000000021373E-2</v>
      </c>
    </row>
    <row r="120" spans="3:10">
      <c r="C120">
        <v>274879.1973</v>
      </c>
      <c r="D120">
        <v>7129809.7087000003</v>
      </c>
      <c r="E120">
        <v>319</v>
      </c>
      <c r="F120">
        <v>26</v>
      </c>
      <c r="G120" t="s">
        <v>557</v>
      </c>
      <c r="H120" t="s">
        <v>541</v>
      </c>
      <c r="I120" t="s">
        <v>542</v>
      </c>
      <c r="J120" s="28">
        <f t="shared" si="6"/>
        <v>-1.7909999999999968</v>
      </c>
    </row>
    <row r="121" spans="3:10">
      <c r="C121">
        <v>274582.5073</v>
      </c>
      <c r="D121">
        <v>7130130.0937000001</v>
      </c>
      <c r="E121">
        <v>290</v>
      </c>
      <c r="F121">
        <v>27</v>
      </c>
      <c r="G121" t="s">
        <v>553</v>
      </c>
      <c r="H121" t="s">
        <v>541</v>
      </c>
      <c r="I121" t="s">
        <v>542</v>
      </c>
      <c r="J121" s="28">
        <f t="shared" si="6"/>
        <v>0.29800000000000182</v>
      </c>
    </row>
    <row r="122" spans="3:10">
      <c r="C122">
        <v>274249.36499999999</v>
      </c>
      <c r="D122">
        <v>7130171.8531999998</v>
      </c>
      <c r="E122">
        <v>247</v>
      </c>
      <c r="F122">
        <v>28</v>
      </c>
      <c r="G122" t="s">
        <v>551</v>
      </c>
      <c r="H122" t="s">
        <v>541</v>
      </c>
      <c r="I122" t="s">
        <v>542</v>
      </c>
      <c r="J122" s="28">
        <f t="shared" si="6"/>
        <v>-2.5029999999999859</v>
      </c>
    </row>
    <row r="123" spans="3:10">
      <c r="C123">
        <v>235538.5477</v>
      </c>
      <c r="D123">
        <v>7087990.2099000001</v>
      </c>
      <c r="E123">
        <v>4</v>
      </c>
      <c r="F123">
        <v>1204</v>
      </c>
      <c r="G123" t="s">
        <v>540</v>
      </c>
      <c r="H123" t="s">
        <v>575</v>
      </c>
      <c r="I123" t="s">
        <v>542</v>
      </c>
    </row>
    <row r="124" spans="3:10">
      <c r="C124">
        <v>235693.66510000001</v>
      </c>
      <c r="D124">
        <v>7088332.3280999996</v>
      </c>
      <c r="E124">
        <v>0</v>
      </c>
      <c r="F124">
        <v>1205</v>
      </c>
      <c r="G124" t="s">
        <v>548</v>
      </c>
      <c r="H124" t="s">
        <v>575</v>
      </c>
      <c r="I124" t="s">
        <v>542</v>
      </c>
    </row>
    <row r="125" spans="3:10">
      <c r="C125">
        <v>235967.43179999999</v>
      </c>
      <c r="D125">
        <v>7088406.4771999996</v>
      </c>
      <c r="E125">
        <v>5</v>
      </c>
      <c r="F125">
        <v>1206</v>
      </c>
      <c r="G125" t="s">
        <v>547</v>
      </c>
      <c r="H125" t="s">
        <v>575</v>
      </c>
      <c r="I125" t="s">
        <v>542</v>
      </c>
    </row>
    <row r="126" spans="3:10">
      <c r="C126">
        <v>235974.24400000001</v>
      </c>
      <c r="D126">
        <v>7088126.0219999999</v>
      </c>
      <c r="E126">
        <v>6</v>
      </c>
      <c r="F126">
        <v>1207</v>
      </c>
      <c r="G126" t="s">
        <v>546</v>
      </c>
      <c r="H126" t="s">
        <v>575</v>
      </c>
      <c r="I126" t="s">
        <v>542</v>
      </c>
    </row>
    <row r="127" spans="3:10">
      <c r="C127">
        <v>235870.13449999999</v>
      </c>
      <c r="D127">
        <v>7087822.7522</v>
      </c>
      <c r="E127">
        <v>5</v>
      </c>
      <c r="F127">
        <v>1208</v>
      </c>
      <c r="G127" t="s">
        <v>545</v>
      </c>
      <c r="H127" t="s">
        <v>575</v>
      </c>
      <c r="I127" t="s">
        <v>542</v>
      </c>
    </row>
    <row r="128" spans="3:10">
      <c r="C128">
        <v>277550.47859999997</v>
      </c>
      <c r="D128">
        <v>7129230.5126</v>
      </c>
      <c r="E128">
        <v>304</v>
      </c>
      <c r="F128">
        <v>1209</v>
      </c>
      <c r="G128" t="s">
        <v>564</v>
      </c>
      <c r="H128" t="s">
        <v>539</v>
      </c>
      <c r="I128" t="s">
        <v>565</v>
      </c>
    </row>
    <row r="129" spans="3:9">
      <c r="C129">
        <v>277782.32020000002</v>
      </c>
      <c r="D129">
        <v>7129238.8910999997</v>
      </c>
      <c r="E129">
        <v>310</v>
      </c>
      <c r="F129">
        <v>1210</v>
      </c>
      <c r="G129" t="s">
        <v>562</v>
      </c>
      <c r="H129" t="s">
        <v>539</v>
      </c>
      <c r="I129" t="s">
        <v>563</v>
      </c>
    </row>
    <row r="130" spans="3:9">
      <c r="C130">
        <v>277814.7317</v>
      </c>
      <c r="D130">
        <v>7128965.5132999998</v>
      </c>
      <c r="E130">
        <v>303</v>
      </c>
      <c r="F130">
        <v>1211</v>
      </c>
      <c r="G130" t="s">
        <v>569</v>
      </c>
      <c r="H130" t="s">
        <v>539</v>
      </c>
      <c r="I130" t="s">
        <v>570</v>
      </c>
    </row>
    <row r="131" spans="3:9">
      <c r="C131">
        <v>277785.47249999997</v>
      </c>
      <c r="D131">
        <v>7128681.6265000002</v>
      </c>
      <c r="E131">
        <v>310</v>
      </c>
      <c r="F131">
        <v>1212</v>
      </c>
      <c r="G131" t="s">
        <v>573</v>
      </c>
      <c r="H131" t="s">
        <v>539</v>
      </c>
      <c r="I131" t="s">
        <v>574</v>
      </c>
    </row>
    <row r="132" spans="3:9">
      <c r="C132">
        <v>305662.37969999999</v>
      </c>
      <c r="D132">
        <v>7203697.9978</v>
      </c>
      <c r="E132">
        <v>80</v>
      </c>
      <c r="F132">
        <v>1221</v>
      </c>
      <c r="G132" t="s">
        <v>320</v>
      </c>
      <c r="H132" t="s">
        <v>539</v>
      </c>
      <c r="I132" t="s">
        <v>539</v>
      </c>
    </row>
    <row r="133" spans="3:9">
      <c r="C133">
        <v>305788.71850000002</v>
      </c>
      <c r="D133">
        <v>7203955.3055999996</v>
      </c>
      <c r="E133">
        <v>96</v>
      </c>
      <c r="F133">
        <v>1220</v>
      </c>
      <c r="G133" t="s">
        <v>319</v>
      </c>
      <c r="H133" t="s">
        <v>539</v>
      </c>
      <c r="I133" t="s">
        <v>539</v>
      </c>
    </row>
    <row r="134" spans="3:9">
      <c r="C134">
        <v>306108.79330000002</v>
      </c>
      <c r="D134">
        <v>7204017.2512999997</v>
      </c>
      <c r="E134">
        <v>115</v>
      </c>
      <c r="F134">
        <v>1222</v>
      </c>
      <c r="G134" t="s">
        <v>321</v>
      </c>
      <c r="H134" t="s">
        <v>539</v>
      </c>
      <c r="I134" t="s">
        <v>539</v>
      </c>
    </row>
    <row r="135" spans="3:9">
      <c r="C135">
        <v>306461.21899999998</v>
      </c>
      <c r="D135">
        <v>7204139.4890999999</v>
      </c>
      <c r="E135">
        <v>155</v>
      </c>
      <c r="F135">
        <v>1223</v>
      </c>
      <c r="G135" t="s">
        <v>322</v>
      </c>
      <c r="H135" t="s">
        <v>539</v>
      </c>
      <c r="I135" t="s">
        <v>539</v>
      </c>
    </row>
    <row r="136" spans="3:9">
      <c r="C136">
        <v>306166.73719999997</v>
      </c>
      <c r="D136">
        <v>7204364.9145</v>
      </c>
      <c r="E136">
        <v>132</v>
      </c>
      <c r="F136">
        <v>1224</v>
      </c>
      <c r="G136" s="132" t="s">
        <v>323</v>
      </c>
      <c r="H136" s="132" t="s">
        <v>539</v>
      </c>
      <c r="I136" t="s">
        <v>539</v>
      </c>
    </row>
    <row r="137" spans="3:9">
      <c r="C137">
        <v>306479.73989999999</v>
      </c>
      <c r="D137">
        <v>7204503.2918999996</v>
      </c>
      <c r="E137">
        <v>144</v>
      </c>
      <c r="F137">
        <v>1530</v>
      </c>
      <c r="G137" s="132" t="s">
        <v>325</v>
      </c>
      <c r="H137" s="132" t="s">
        <v>539</v>
      </c>
      <c r="I137" t="s">
        <v>539</v>
      </c>
    </row>
    <row r="138" spans="3:9">
      <c r="C138">
        <v>306604.62349999999</v>
      </c>
      <c r="D138">
        <v>7204760.4674000004</v>
      </c>
      <c r="E138">
        <v>140</v>
      </c>
      <c r="F138">
        <v>1531</v>
      </c>
      <c r="G138" s="132" t="s">
        <v>326</v>
      </c>
      <c r="H138" s="132" t="s">
        <v>539</v>
      </c>
      <c r="I138" t="s">
        <v>539</v>
      </c>
    </row>
    <row r="139" spans="3:9">
      <c r="C139">
        <v>306968.69089999999</v>
      </c>
      <c r="D139">
        <v>7204834.5509000001</v>
      </c>
      <c r="E139">
        <v>117</v>
      </c>
      <c r="F139">
        <v>1533</v>
      </c>
      <c r="G139" s="132" t="s">
        <v>328</v>
      </c>
      <c r="H139" s="132" t="s">
        <v>539</v>
      </c>
      <c r="I139" t="s">
        <v>539</v>
      </c>
    </row>
    <row r="140" spans="3:9">
      <c r="C140">
        <v>306943.29080000002</v>
      </c>
      <c r="D140">
        <v>7204466.2500999998</v>
      </c>
      <c r="E140">
        <v>126</v>
      </c>
      <c r="F140">
        <v>1532</v>
      </c>
      <c r="G140" s="132" t="s">
        <v>327</v>
      </c>
      <c r="H140" s="132" t="s">
        <v>539</v>
      </c>
      <c r="I140" t="s">
        <v>539</v>
      </c>
    </row>
    <row r="141" spans="3:9">
      <c r="C141">
        <v>306705.16529999999</v>
      </c>
      <c r="D141">
        <v>7204254.5831000004</v>
      </c>
      <c r="E141">
        <v>150</v>
      </c>
      <c r="F141">
        <v>1529</v>
      </c>
      <c r="G141" s="132" t="s">
        <v>324</v>
      </c>
      <c r="H141" s="132" t="s">
        <v>539</v>
      </c>
      <c r="I141" t="s">
        <v>539</v>
      </c>
    </row>
    <row r="142" spans="3:9">
      <c r="C142">
        <v>305358.7697</v>
      </c>
      <c r="D142">
        <v>7203459.2109000003</v>
      </c>
      <c r="E142">
        <v>80</v>
      </c>
      <c r="F142">
        <v>1219</v>
      </c>
      <c r="G142" t="s">
        <v>318</v>
      </c>
      <c r="H142" t="s">
        <v>539</v>
      </c>
      <c r="I142" t="s">
        <v>539</v>
      </c>
    </row>
    <row r="143" spans="3:9">
      <c r="C143">
        <v>305387.87390000001</v>
      </c>
      <c r="D143">
        <v>7203719.8260000004</v>
      </c>
      <c r="E143">
        <v>89</v>
      </c>
      <c r="F143">
        <v>1218</v>
      </c>
      <c r="G143" t="s">
        <v>317</v>
      </c>
      <c r="H143" t="s">
        <v>539</v>
      </c>
      <c r="I143" t="s">
        <v>539</v>
      </c>
    </row>
    <row r="144" spans="3:9">
      <c r="C144">
        <v>304998.93569999997</v>
      </c>
      <c r="D144">
        <v>7203629.2060000002</v>
      </c>
      <c r="E144">
        <v>87</v>
      </c>
      <c r="F144">
        <v>1217</v>
      </c>
      <c r="G144" t="s">
        <v>316</v>
      </c>
      <c r="H144" t="s">
        <v>539</v>
      </c>
      <c r="I144" t="s">
        <v>539</v>
      </c>
    </row>
    <row r="145" spans="3:9">
      <c r="C145">
        <v>304724.29759999999</v>
      </c>
      <c r="D145">
        <v>7203578.2074999996</v>
      </c>
      <c r="E145">
        <v>96</v>
      </c>
      <c r="F145">
        <v>1214</v>
      </c>
      <c r="G145" t="s">
        <v>313</v>
      </c>
      <c r="H145" t="s">
        <v>539</v>
      </c>
      <c r="I145" t="s">
        <v>539</v>
      </c>
    </row>
    <row r="146" spans="3:9">
      <c r="C146">
        <v>304424.65639999998</v>
      </c>
      <c r="D146">
        <v>7203525.9522000002</v>
      </c>
      <c r="E146">
        <v>65</v>
      </c>
      <c r="F146">
        <v>1213</v>
      </c>
      <c r="G146" t="s">
        <v>312</v>
      </c>
      <c r="H146" t="s">
        <v>539</v>
      </c>
      <c r="I146" t="s">
        <v>539</v>
      </c>
    </row>
    <row r="147" spans="3:9">
      <c r="C147">
        <v>304882.51880000002</v>
      </c>
      <c r="D147">
        <v>7203862.7012999998</v>
      </c>
      <c r="E147">
        <v>102</v>
      </c>
      <c r="F147">
        <v>1216</v>
      </c>
      <c r="G147" t="s">
        <v>315</v>
      </c>
      <c r="H147" t="s">
        <v>539</v>
      </c>
      <c r="I147" t="s">
        <v>539</v>
      </c>
    </row>
    <row r="148" spans="3:9">
      <c r="C148">
        <v>304616.47970000003</v>
      </c>
      <c r="D148">
        <v>7203941.3487999998</v>
      </c>
      <c r="E148">
        <v>80</v>
      </c>
      <c r="F148">
        <v>1215</v>
      </c>
      <c r="G148" t="s">
        <v>314</v>
      </c>
      <c r="H148" t="s">
        <v>539</v>
      </c>
      <c r="I148" t="s">
        <v>539</v>
      </c>
    </row>
  </sheetData>
  <sortState ref="C130:I146">
    <sortCondition ref="G130:G146"/>
  </sortState>
  <mergeCells count="8">
    <mergeCell ref="A60:H60"/>
    <mergeCell ref="I60:N60"/>
    <mergeCell ref="A1:H1"/>
    <mergeCell ref="I1:N1"/>
    <mergeCell ref="A50:H50"/>
    <mergeCell ref="I50:N50"/>
    <mergeCell ref="A39:H39"/>
    <mergeCell ref="I39:N39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F11"/>
  <sheetViews>
    <sheetView workbookViewId="0">
      <selection activeCell="A17" sqref="A17"/>
    </sheetView>
  </sheetViews>
  <sheetFormatPr baseColWidth="10" defaultColWidth="11.42578125" defaultRowHeight="15"/>
  <cols>
    <col min="1" max="1" width="100" customWidth="1"/>
    <col min="2" max="2" width="64" customWidth="1"/>
    <col min="3" max="3" width="16.28515625" customWidth="1"/>
    <col min="4" max="5" width="18.85546875" customWidth="1"/>
    <col min="6" max="6" width="41.28515625" customWidth="1"/>
  </cols>
  <sheetData>
    <row r="1" spans="1:6" ht="21.75" thickBot="1">
      <c r="A1" s="156" t="s">
        <v>232</v>
      </c>
      <c r="B1" s="157"/>
      <c r="C1" s="157"/>
      <c r="D1" s="157"/>
      <c r="E1" s="157"/>
      <c r="F1" s="157"/>
    </row>
    <row r="2" spans="1:6" ht="15.75" thickBot="1">
      <c r="A2" s="20" t="s">
        <v>42</v>
      </c>
      <c r="B2" s="20" t="s">
        <v>235</v>
      </c>
      <c r="C2" s="20" t="s">
        <v>247</v>
      </c>
      <c r="D2" s="20" t="s">
        <v>89</v>
      </c>
      <c r="E2" s="20" t="s">
        <v>244</v>
      </c>
      <c r="F2" s="20" t="s">
        <v>236</v>
      </c>
    </row>
    <row r="3" spans="1:6" ht="50.25" customHeight="1">
      <c r="A3" s="86" t="s">
        <v>303</v>
      </c>
      <c r="B3" s="84" t="s">
        <v>268</v>
      </c>
      <c r="C3" s="88" t="s">
        <v>248</v>
      </c>
      <c r="D3" s="91" t="s">
        <v>233</v>
      </c>
      <c r="E3" s="91" t="s">
        <v>245</v>
      </c>
      <c r="F3" s="92" t="s">
        <v>243</v>
      </c>
    </row>
    <row r="4" spans="1:6" ht="50.25" customHeight="1">
      <c r="A4" s="87" t="s">
        <v>310</v>
      </c>
      <c r="B4" s="85" t="s">
        <v>260</v>
      </c>
      <c r="C4" s="89" t="s">
        <v>301</v>
      </c>
      <c r="D4" s="93" t="s">
        <v>234</v>
      </c>
      <c r="E4" s="93" t="s">
        <v>245</v>
      </c>
      <c r="F4" s="94" t="s">
        <v>300</v>
      </c>
    </row>
    <row r="5" spans="1:6" ht="50.25" customHeight="1">
      <c r="A5" s="87" t="s">
        <v>259</v>
      </c>
      <c r="B5" s="85" t="s">
        <v>260</v>
      </c>
      <c r="C5" s="89" t="s">
        <v>302</v>
      </c>
      <c r="D5" s="93" t="s">
        <v>234</v>
      </c>
      <c r="E5" s="93" t="s">
        <v>245</v>
      </c>
      <c r="F5" s="94" t="s">
        <v>238</v>
      </c>
    </row>
    <row r="6" spans="1:6" ht="50.25" customHeight="1">
      <c r="A6" s="81" t="s">
        <v>311</v>
      </c>
      <c r="B6" s="82" t="s">
        <v>257</v>
      </c>
      <c r="C6" s="89" t="s">
        <v>251</v>
      </c>
      <c r="D6" s="93" t="s">
        <v>234</v>
      </c>
      <c r="E6" s="93" t="s">
        <v>245</v>
      </c>
      <c r="F6" s="95" t="s">
        <v>237</v>
      </c>
    </row>
    <row r="7" spans="1:6" ht="50.25" customHeight="1">
      <c r="A7" s="81" t="s">
        <v>261</v>
      </c>
      <c r="B7" s="82" t="s">
        <v>262</v>
      </c>
      <c r="C7" s="89" t="s">
        <v>249</v>
      </c>
      <c r="D7" s="93" t="s">
        <v>234</v>
      </c>
      <c r="E7" s="93" t="s">
        <v>245</v>
      </c>
      <c r="F7" s="95" t="s">
        <v>239</v>
      </c>
    </row>
    <row r="8" spans="1:6" ht="50.25" customHeight="1">
      <c r="A8" s="81" t="s">
        <v>256</v>
      </c>
      <c r="B8" s="82" t="s">
        <v>262</v>
      </c>
      <c r="C8" s="89" t="s">
        <v>250</v>
      </c>
      <c r="D8" s="93" t="s">
        <v>234</v>
      </c>
      <c r="E8" s="93" t="s">
        <v>245</v>
      </c>
      <c r="F8" s="95" t="s">
        <v>240</v>
      </c>
    </row>
    <row r="9" spans="1:6" ht="50.25" customHeight="1">
      <c r="A9" s="81" t="s">
        <v>263</v>
      </c>
      <c r="B9" s="83" t="s">
        <v>258</v>
      </c>
      <c r="C9" s="90" t="s">
        <v>253</v>
      </c>
      <c r="D9" s="95" t="s">
        <v>233</v>
      </c>
      <c r="E9" s="95" t="s">
        <v>245</v>
      </c>
      <c r="F9" s="95" t="s">
        <v>255</v>
      </c>
    </row>
    <row r="10" spans="1:6">
      <c r="A10" s="80" t="s">
        <v>266</v>
      </c>
      <c r="B10" s="83" t="s">
        <v>264</v>
      </c>
      <c r="C10" s="90" t="s">
        <v>254</v>
      </c>
      <c r="D10" s="95" t="s">
        <v>242</v>
      </c>
      <c r="E10" s="95" t="s">
        <v>246</v>
      </c>
      <c r="F10" s="95" t="s">
        <v>241</v>
      </c>
    </row>
    <row r="11" spans="1:6" ht="60">
      <c r="A11" s="96" t="s">
        <v>265</v>
      </c>
      <c r="B11" s="97" t="s">
        <v>262</v>
      </c>
      <c r="C11" s="98" t="s">
        <v>252</v>
      </c>
      <c r="D11" s="99" t="s">
        <v>234</v>
      </c>
      <c r="E11" s="99" t="s">
        <v>245</v>
      </c>
      <c r="F11" s="100" t="s">
        <v>229</v>
      </c>
    </row>
  </sheetData>
  <mergeCells count="1">
    <mergeCell ref="A1:F1"/>
  </mergeCells>
  <pageMargins left="0.7" right="0.7" top="0.78740157499999996" bottom="0.78740157499999996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J16"/>
  <sheetViews>
    <sheetView workbookViewId="0">
      <selection activeCell="D29" sqref="D29"/>
    </sheetView>
  </sheetViews>
  <sheetFormatPr baseColWidth="10" defaultColWidth="11.42578125" defaultRowHeight="15"/>
  <cols>
    <col min="1" max="1" width="26.28515625" customWidth="1"/>
    <col min="2" max="2" width="25.140625" bestFit="1" customWidth="1"/>
    <col min="3" max="5" width="30.7109375" bestFit="1" customWidth="1"/>
    <col min="6" max="10" width="36.42578125" customWidth="1"/>
  </cols>
  <sheetData>
    <row r="1" spans="1:10" ht="21.75" thickBot="1">
      <c r="A1" s="156" t="s">
        <v>39</v>
      </c>
      <c r="B1" s="157"/>
      <c r="C1" s="157"/>
      <c r="D1" s="157"/>
      <c r="E1" s="158"/>
      <c r="F1" s="136" t="s">
        <v>110</v>
      </c>
      <c r="G1" s="137"/>
      <c r="H1" s="137"/>
      <c r="I1" s="137"/>
      <c r="J1" s="137"/>
    </row>
    <row r="2" spans="1:10" ht="45.75" thickBot="1">
      <c r="A2" s="20" t="s">
        <v>531</v>
      </c>
      <c r="B2" s="20" t="s">
        <v>530</v>
      </c>
      <c r="C2" s="21" t="s">
        <v>525</v>
      </c>
      <c r="D2" s="21" t="s">
        <v>336</v>
      </c>
      <c r="E2" s="21" t="s">
        <v>337</v>
      </c>
      <c r="F2" s="21" t="s">
        <v>526</v>
      </c>
      <c r="G2" s="21" t="s">
        <v>218</v>
      </c>
      <c r="H2" s="21" t="s">
        <v>108</v>
      </c>
      <c r="I2" s="21" t="s">
        <v>527</v>
      </c>
      <c r="J2" s="21" t="s">
        <v>528</v>
      </c>
    </row>
    <row r="3" spans="1:10">
      <c r="A3" s="22"/>
      <c r="B3" s="3"/>
      <c r="C3" s="3" t="s">
        <v>11</v>
      </c>
      <c r="D3" s="3" t="s">
        <v>10</v>
      </c>
      <c r="E3" s="3" t="s">
        <v>10</v>
      </c>
      <c r="F3" s="3" t="s">
        <v>448</v>
      </c>
      <c r="G3" s="3" t="s">
        <v>88</v>
      </c>
      <c r="H3" s="3" t="s">
        <v>8</v>
      </c>
      <c r="I3" s="3" t="s">
        <v>88</v>
      </c>
      <c r="J3" s="3" t="s">
        <v>529</v>
      </c>
    </row>
    <row r="4" spans="1:10">
      <c r="A4" s="133">
        <v>65940</v>
      </c>
      <c r="B4" s="24" t="s">
        <v>512</v>
      </c>
      <c r="C4" s="24">
        <v>5</v>
      </c>
      <c r="D4" s="24">
        <v>63.846699999999998</v>
      </c>
      <c r="E4" s="24">
        <v>8.4666999999999994</v>
      </c>
      <c r="F4" s="24" t="s">
        <v>447</v>
      </c>
      <c r="G4" s="25" t="s">
        <v>449</v>
      </c>
      <c r="H4" s="24" t="s">
        <v>450</v>
      </c>
      <c r="I4" s="26" t="s">
        <v>451</v>
      </c>
      <c r="J4" s="24" t="s">
        <v>446</v>
      </c>
    </row>
    <row r="5" spans="1:10">
      <c r="A5" s="133">
        <v>69100</v>
      </c>
      <c r="B5" s="24" t="s">
        <v>513</v>
      </c>
      <c r="C5" s="24">
        <v>12</v>
      </c>
      <c r="D5" s="24">
        <v>63.459699999999998</v>
      </c>
      <c r="E5" s="24">
        <v>10.9305</v>
      </c>
      <c r="F5" s="24" t="s">
        <v>453</v>
      </c>
      <c r="G5" s="25" t="s">
        <v>454</v>
      </c>
      <c r="H5" s="24" t="s">
        <v>455</v>
      </c>
      <c r="I5" s="26" t="s">
        <v>456</v>
      </c>
      <c r="J5" s="24" t="s">
        <v>452</v>
      </c>
    </row>
    <row r="6" spans="1:10">
      <c r="A6" s="133">
        <v>71550</v>
      </c>
      <c r="B6" s="24" t="s">
        <v>514</v>
      </c>
      <c r="C6" s="24">
        <v>10</v>
      </c>
      <c r="D6" s="24">
        <v>63.704500000000003</v>
      </c>
      <c r="E6" s="24">
        <v>9.6105</v>
      </c>
      <c r="F6" s="24" t="s">
        <v>458</v>
      </c>
      <c r="G6" s="25" t="s">
        <v>459</v>
      </c>
      <c r="H6" s="24" t="s">
        <v>460</v>
      </c>
      <c r="I6" s="26" t="s">
        <v>461</v>
      </c>
      <c r="J6" s="24" t="s">
        <v>457</v>
      </c>
    </row>
    <row r="7" spans="1:10">
      <c r="A7" s="133">
        <v>71850</v>
      </c>
      <c r="B7" s="24" t="s">
        <v>515</v>
      </c>
      <c r="C7" s="24">
        <v>16</v>
      </c>
      <c r="D7" s="24">
        <v>64.172700000000006</v>
      </c>
      <c r="E7" s="24">
        <v>9.4052000000000007</v>
      </c>
      <c r="F7" s="24" t="s">
        <v>463</v>
      </c>
      <c r="G7" s="25" t="s">
        <v>464</v>
      </c>
      <c r="H7" s="24" t="s">
        <v>465</v>
      </c>
      <c r="I7" s="26" t="s">
        <v>466</v>
      </c>
      <c r="J7" s="24" t="s">
        <v>462</v>
      </c>
    </row>
    <row r="8" spans="1:10">
      <c r="A8" s="133">
        <v>71990</v>
      </c>
      <c r="B8" s="24" t="s">
        <v>516</v>
      </c>
      <c r="C8" s="24">
        <v>18</v>
      </c>
      <c r="D8" s="24">
        <v>64.401300000000006</v>
      </c>
      <c r="E8" s="24">
        <v>10.455</v>
      </c>
      <c r="F8" s="24" t="s">
        <v>468</v>
      </c>
      <c r="G8" s="25" t="s">
        <v>469</v>
      </c>
      <c r="H8" s="24" t="s">
        <v>470</v>
      </c>
      <c r="I8" s="26" t="s">
        <v>471</v>
      </c>
      <c r="J8" s="24" t="s">
        <v>467</v>
      </c>
    </row>
    <row r="9" spans="1:10">
      <c r="A9" s="133">
        <v>72580</v>
      </c>
      <c r="B9" s="24" t="s">
        <v>517</v>
      </c>
      <c r="C9" s="24">
        <v>2</v>
      </c>
      <c r="D9" s="24">
        <v>64.470799999999997</v>
      </c>
      <c r="E9" s="24">
        <v>11.570499999999999</v>
      </c>
      <c r="F9" s="24" t="s">
        <v>473</v>
      </c>
      <c r="G9" s="25" t="s">
        <v>474</v>
      </c>
      <c r="H9" s="24" t="s">
        <v>475</v>
      </c>
      <c r="I9" s="26" t="s">
        <v>476</v>
      </c>
      <c r="J9" s="24" t="s">
        <v>472</v>
      </c>
    </row>
    <row r="10" spans="1:10">
      <c r="A10" s="133">
        <v>74350</v>
      </c>
      <c r="B10" s="24" t="s">
        <v>518</v>
      </c>
      <c r="C10" s="24">
        <v>140</v>
      </c>
      <c r="D10" s="24">
        <v>64.742199999999997</v>
      </c>
      <c r="E10" s="24">
        <v>12.846</v>
      </c>
      <c r="F10" s="24" t="s">
        <v>478</v>
      </c>
      <c r="G10" s="25" t="s">
        <v>479</v>
      </c>
      <c r="H10" s="24" t="s">
        <v>480</v>
      </c>
      <c r="I10" s="26" t="s">
        <v>481</v>
      </c>
      <c r="J10" s="24" t="s">
        <v>477</v>
      </c>
    </row>
    <row r="11" spans="1:10">
      <c r="A11" s="133">
        <v>75220</v>
      </c>
      <c r="B11" s="24" t="s">
        <v>519</v>
      </c>
      <c r="C11" s="24">
        <v>4</v>
      </c>
      <c r="D11" s="24">
        <v>64.834999999999994</v>
      </c>
      <c r="E11" s="24">
        <v>11.1408</v>
      </c>
      <c r="F11" s="24" t="s">
        <v>483</v>
      </c>
      <c r="G11" s="25" t="s">
        <v>484</v>
      </c>
      <c r="H11" s="24" t="s">
        <v>485</v>
      </c>
      <c r="I11" s="26" t="s">
        <v>486</v>
      </c>
      <c r="J11" s="24" t="s">
        <v>482</v>
      </c>
    </row>
    <row r="12" spans="1:10">
      <c r="A12" s="133">
        <v>75410</v>
      </c>
      <c r="B12" s="24" t="s">
        <v>520</v>
      </c>
      <c r="C12" s="24">
        <v>33</v>
      </c>
      <c r="D12" s="24">
        <v>64.797700000000006</v>
      </c>
      <c r="E12" s="24">
        <v>10.549300000000001</v>
      </c>
      <c r="F12" s="24" t="s">
        <v>488</v>
      </c>
      <c r="G12" s="25" t="s">
        <v>489</v>
      </c>
      <c r="H12" s="24" t="s">
        <v>490</v>
      </c>
      <c r="I12" s="26" t="s">
        <v>491</v>
      </c>
      <c r="J12" s="24" t="s">
        <v>487</v>
      </c>
    </row>
    <row r="13" spans="1:10">
      <c r="A13" s="133">
        <v>75550</v>
      </c>
      <c r="B13" s="24" t="s">
        <v>521</v>
      </c>
      <c r="C13" s="24">
        <v>23</v>
      </c>
      <c r="D13" s="24">
        <v>65.202299999999994</v>
      </c>
      <c r="E13" s="24">
        <v>10.996499999999999</v>
      </c>
      <c r="F13" s="24" t="s">
        <v>493</v>
      </c>
      <c r="G13" s="25" t="s">
        <v>494</v>
      </c>
      <c r="H13" s="24" t="s">
        <v>495</v>
      </c>
      <c r="I13" s="26" t="s">
        <v>496</v>
      </c>
      <c r="J13" s="24" t="s">
        <v>492</v>
      </c>
    </row>
    <row r="14" spans="1:10">
      <c r="A14" s="133">
        <v>76240</v>
      </c>
      <c r="B14" s="24" t="s">
        <v>522</v>
      </c>
      <c r="C14" s="24">
        <v>302</v>
      </c>
      <c r="D14" s="24">
        <v>65.22</v>
      </c>
      <c r="E14" s="24">
        <v>11.992699999999999</v>
      </c>
      <c r="F14" s="24" t="s">
        <v>498</v>
      </c>
      <c r="G14" s="25" t="s">
        <v>499</v>
      </c>
      <c r="H14" s="24" t="s">
        <v>500</v>
      </c>
      <c r="I14" s="26" t="s">
        <v>501</v>
      </c>
      <c r="J14" s="24" t="s">
        <v>497</v>
      </c>
    </row>
    <row r="15" spans="1:10">
      <c r="A15" s="133">
        <v>76330</v>
      </c>
      <c r="B15" s="24" t="s">
        <v>523</v>
      </c>
      <c r="C15" s="24">
        <v>9</v>
      </c>
      <c r="D15" s="24">
        <v>65.456699999999998</v>
      </c>
      <c r="E15" s="24">
        <v>12.2182</v>
      </c>
      <c r="F15" s="24" t="s">
        <v>503</v>
      </c>
      <c r="G15" s="25" t="s">
        <v>504</v>
      </c>
      <c r="H15" s="24" t="s">
        <v>505</v>
      </c>
      <c r="I15" s="26" t="s">
        <v>506</v>
      </c>
      <c r="J15" s="24" t="s">
        <v>502</v>
      </c>
    </row>
    <row r="16" spans="1:10">
      <c r="A16" s="133">
        <v>76450</v>
      </c>
      <c r="B16" s="24" t="s">
        <v>524</v>
      </c>
      <c r="C16" s="24">
        <v>4</v>
      </c>
      <c r="D16" s="24">
        <v>65.701700000000002</v>
      </c>
      <c r="E16" s="24">
        <v>11.856199999999999</v>
      </c>
      <c r="F16" s="24" t="s">
        <v>508</v>
      </c>
      <c r="G16" s="25" t="s">
        <v>509</v>
      </c>
      <c r="H16" s="24" t="s">
        <v>510</v>
      </c>
      <c r="I16" s="26" t="s">
        <v>511</v>
      </c>
      <c r="J16" s="24" t="s">
        <v>507</v>
      </c>
    </row>
  </sheetData>
  <mergeCells count="2">
    <mergeCell ref="A1:E1"/>
    <mergeCell ref="F1:J1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7:I146"/>
  <sheetViews>
    <sheetView tabSelected="1" topLeftCell="A4" workbookViewId="0">
      <selection activeCell="K39" sqref="K39"/>
    </sheetView>
  </sheetViews>
  <sheetFormatPr baseColWidth="10" defaultRowHeight="15"/>
  <sheetData>
    <row r="7" spans="4:9">
      <c r="D7">
        <v>1</v>
      </c>
      <c r="E7" t="s">
        <v>227</v>
      </c>
      <c r="F7" t="s">
        <v>1</v>
      </c>
      <c r="G7" t="s">
        <v>9</v>
      </c>
      <c r="H7">
        <v>64.224688459999996</v>
      </c>
      <c r="I7">
        <v>10.365205230000001</v>
      </c>
    </row>
    <row r="8" spans="4:9">
      <c r="D8">
        <v>2</v>
      </c>
      <c r="E8" t="s">
        <v>293</v>
      </c>
      <c r="F8" t="s">
        <v>290</v>
      </c>
      <c r="G8" t="s">
        <v>9</v>
      </c>
      <c r="H8">
        <v>63.820488505555559</v>
      </c>
      <c r="I8">
        <v>9.6282744166666667</v>
      </c>
    </row>
    <row r="9" spans="4:9">
      <c r="D9">
        <v>3</v>
      </c>
      <c r="E9" t="s">
        <v>101</v>
      </c>
      <c r="F9" t="s">
        <v>102</v>
      </c>
      <c r="G9" t="s">
        <v>17</v>
      </c>
      <c r="H9">
        <v>64.401300000000006</v>
      </c>
      <c r="I9">
        <v>10.455</v>
      </c>
    </row>
    <row r="10" spans="4:9">
      <c r="D10">
        <v>4</v>
      </c>
      <c r="E10" t="s">
        <v>100</v>
      </c>
      <c r="F10" t="s">
        <v>94</v>
      </c>
      <c r="G10" t="s">
        <v>17</v>
      </c>
      <c r="H10">
        <v>64.173000000000002</v>
      </c>
      <c r="I10">
        <v>9.4062999999999999</v>
      </c>
    </row>
    <row r="11" spans="4:9">
      <c r="D11">
        <v>5</v>
      </c>
      <c r="E11" t="s">
        <v>98</v>
      </c>
      <c r="F11" t="s">
        <v>95</v>
      </c>
      <c r="G11" t="s">
        <v>17</v>
      </c>
      <c r="H11">
        <v>64.470799999999997</v>
      </c>
      <c r="I11">
        <v>11.570499999999999</v>
      </c>
    </row>
    <row r="12" spans="4:9">
      <c r="D12">
        <v>6</v>
      </c>
      <c r="E12" t="s">
        <v>91</v>
      </c>
      <c r="F12" t="s">
        <v>92</v>
      </c>
      <c r="G12" t="s">
        <v>17</v>
      </c>
      <c r="H12">
        <v>63.704500000000003</v>
      </c>
      <c r="I12">
        <v>9.6105</v>
      </c>
    </row>
    <row r="13" spans="4:9">
      <c r="D13">
        <v>7</v>
      </c>
      <c r="E13" t="s">
        <v>99</v>
      </c>
      <c r="F13" t="s">
        <v>96</v>
      </c>
      <c r="G13" t="s">
        <v>17</v>
      </c>
      <c r="H13">
        <v>64.834999999999994</v>
      </c>
      <c r="I13">
        <v>11.1408</v>
      </c>
    </row>
    <row r="14" spans="4:9">
      <c r="D14">
        <v>8</v>
      </c>
      <c r="E14" t="s">
        <v>16</v>
      </c>
      <c r="F14" t="s">
        <v>97</v>
      </c>
      <c r="G14" t="s">
        <v>17</v>
      </c>
      <c r="H14">
        <v>63.459600000000002</v>
      </c>
      <c r="I14">
        <v>10.9305</v>
      </c>
    </row>
    <row r="15" spans="4:9">
      <c r="D15">
        <v>9</v>
      </c>
      <c r="E15" t="s">
        <v>15</v>
      </c>
      <c r="F15" t="s">
        <v>15</v>
      </c>
      <c r="G15" t="s">
        <v>17</v>
      </c>
      <c r="H15">
        <v>63.846699999999998</v>
      </c>
      <c r="I15">
        <v>8.4666999999999994</v>
      </c>
    </row>
    <row r="16" spans="4:9">
      <c r="D16">
        <v>10</v>
      </c>
      <c r="E16" t="s">
        <v>0</v>
      </c>
      <c r="F16" t="s">
        <v>0</v>
      </c>
      <c r="G16" t="s">
        <v>17</v>
      </c>
      <c r="H16">
        <v>64.742199999999997</v>
      </c>
      <c r="I16">
        <v>12.846</v>
      </c>
    </row>
    <row r="17" spans="4:9">
      <c r="D17">
        <v>11</v>
      </c>
      <c r="E17" t="s">
        <v>23</v>
      </c>
      <c r="F17" t="s">
        <v>93</v>
      </c>
      <c r="G17" t="s">
        <v>17</v>
      </c>
      <c r="H17">
        <v>64.214100000000002</v>
      </c>
      <c r="I17">
        <v>10.411799999999999</v>
      </c>
    </row>
    <row r="18" spans="4:9">
      <c r="D18">
        <v>12</v>
      </c>
      <c r="E18" t="s">
        <v>520</v>
      </c>
      <c r="F18" t="s">
        <v>580</v>
      </c>
      <c r="G18" t="s">
        <v>17</v>
      </c>
      <c r="H18">
        <v>64.797700000000006</v>
      </c>
      <c r="I18">
        <v>10.549300000000001</v>
      </c>
    </row>
    <row r="19" spans="4:9">
      <c r="D19">
        <v>13</v>
      </c>
      <c r="E19" t="s">
        <v>521</v>
      </c>
      <c r="F19" t="s">
        <v>521</v>
      </c>
      <c r="G19" t="s">
        <v>17</v>
      </c>
      <c r="H19">
        <v>65.202299999999994</v>
      </c>
      <c r="I19">
        <v>10.996499999999999</v>
      </c>
    </row>
    <row r="20" spans="4:9">
      <c r="D20">
        <v>14</v>
      </c>
      <c r="E20" t="s">
        <v>522</v>
      </c>
      <c r="F20" t="s">
        <v>581</v>
      </c>
      <c r="G20" t="s">
        <v>17</v>
      </c>
      <c r="H20">
        <v>65.22</v>
      </c>
      <c r="I20">
        <v>11.992699999999999</v>
      </c>
    </row>
    <row r="21" spans="4:9">
      <c r="D21">
        <v>15</v>
      </c>
      <c r="E21" t="s">
        <v>523</v>
      </c>
      <c r="F21" t="s">
        <v>582</v>
      </c>
      <c r="G21" t="s">
        <v>17</v>
      </c>
      <c r="H21">
        <v>65.456699999999998</v>
      </c>
      <c r="I21">
        <v>12.2182</v>
      </c>
    </row>
    <row r="22" spans="4:9">
      <c r="D22">
        <v>16</v>
      </c>
      <c r="E22" t="s">
        <v>524</v>
      </c>
      <c r="F22" t="s">
        <v>583</v>
      </c>
      <c r="G22" t="s">
        <v>17</v>
      </c>
      <c r="H22">
        <v>65.701700000000002</v>
      </c>
      <c r="I22">
        <v>11.856199999999999</v>
      </c>
    </row>
    <row r="23" spans="4:9">
      <c r="D23">
        <v>17</v>
      </c>
      <c r="E23" t="s">
        <v>584</v>
      </c>
      <c r="G23" t="s">
        <v>9</v>
      </c>
      <c r="H23">
        <v>64.903820999999994</v>
      </c>
      <c r="I23">
        <v>10.893917000000002</v>
      </c>
    </row>
    <row r="24" spans="4:9">
      <c r="D24">
        <v>18</v>
      </c>
      <c r="E24" t="s">
        <v>585</v>
      </c>
      <c r="G24" t="s">
        <v>9</v>
      </c>
      <c r="H24">
        <v>64.2154235</v>
      </c>
      <c r="I24">
        <v>10.417470250000001</v>
      </c>
    </row>
    <row r="25" spans="4:9">
      <c r="E25" t="s">
        <v>586</v>
      </c>
      <c r="G25" t="s">
        <v>587</v>
      </c>
      <c r="H25">
        <v>62.76</v>
      </c>
      <c r="I25">
        <v>7.82</v>
      </c>
    </row>
    <row r="26" spans="4:9">
      <c r="E26" t="s">
        <v>588</v>
      </c>
      <c r="G26" t="s">
        <v>587</v>
      </c>
      <c r="H26">
        <v>62.8</v>
      </c>
      <c r="I26">
        <v>8.6999999999999993</v>
      </c>
    </row>
    <row r="27" spans="4:9">
      <c r="E27" t="s">
        <v>589</v>
      </c>
      <c r="G27" t="s">
        <v>587</v>
      </c>
      <c r="H27">
        <v>62.83</v>
      </c>
      <c r="I27">
        <v>9.58</v>
      </c>
    </row>
    <row r="28" spans="4:9">
      <c r="E28" t="s">
        <v>590</v>
      </c>
      <c r="G28" t="s">
        <v>587</v>
      </c>
      <c r="H28">
        <v>62.87</v>
      </c>
      <c r="I28">
        <v>10.51</v>
      </c>
    </row>
    <row r="29" spans="4:9">
      <c r="E29" t="s">
        <v>591</v>
      </c>
      <c r="G29" t="s">
        <v>587</v>
      </c>
      <c r="H29">
        <v>63.23</v>
      </c>
      <c r="I29">
        <v>12.31</v>
      </c>
    </row>
    <row r="30" spans="4:9">
      <c r="E30" t="s">
        <v>592</v>
      </c>
      <c r="G30" t="s">
        <v>587</v>
      </c>
      <c r="H30">
        <v>63.23</v>
      </c>
      <c r="I30">
        <v>11.41</v>
      </c>
    </row>
    <row r="31" spans="4:9">
      <c r="E31" t="s">
        <v>593</v>
      </c>
      <c r="G31" t="s">
        <v>587</v>
      </c>
      <c r="H31">
        <v>63.23</v>
      </c>
      <c r="I31">
        <v>10.51</v>
      </c>
    </row>
    <row r="32" spans="4:9">
      <c r="E32" t="s">
        <v>594</v>
      </c>
      <c r="G32" t="s">
        <v>587</v>
      </c>
      <c r="H32">
        <v>63.22</v>
      </c>
      <c r="I32">
        <v>9.61</v>
      </c>
    </row>
    <row r="33" spans="5:9">
      <c r="E33" t="s">
        <v>595</v>
      </c>
      <c r="G33" t="s">
        <v>587</v>
      </c>
      <c r="H33">
        <v>63.23</v>
      </c>
      <c r="I33">
        <v>8.6999999999999993</v>
      </c>
    </row>
    <row r="34" spans="5:9">
      <c r="E34" t="s">
        <v>596</v>
      </c>
      <c r="G34" t="s">
        <v>587</v>
      </c>
      <c r="H34">
        <v>63.23</v>
      </c>
      <c r="I34">
        <v>7.8</v>
      </c>
    </row>
    <row r="35" spans="5:9">
      <c r="E35" t="s">
        <v>597</v>
      </c>
      <c r="G35" t="s">
        <v>587</v>
      </c>
      <c r="H35">
        <v>63.42</v>
      </c>
      <c r="I35">
        <v>10.88</v>
      </c>
    </row>
    <row r="36" spans="5:9">
      <c r="E36" t="s">
        <v>598</v>
      </c>
      <c r="G36" t="s">
        <v>587</v>
      </c>
      <c r="H36">
        <v>63.42</v>
      </c>
      <c r="I36">
        <v>10.98</v>
      </c>
    </row>
    <row r="37" spans="5:9">
      <c r="E37" t="s">
        <v>599</v>
      </c>
      <c r="G37" t="s">
        <v>587</v>
      </c>
      <c r="H37">
        <v>63.47</v>
      </c>
      <c r="I37">
        <v>10.92</v>
      </c>
    </row>
    <row r="38" spans="5:9">
      <c r="E38" t="s">
        <v>600</v>
      </c>
      <c r="G38" t="s">
        <v>587</v>
      </c>
      <c r="H38">
        <v>63.49</v>
      </c>
      <c r="I38">
        <v>10.87</v>
      </c>
    </row>
    <row r="39" spans="5:9">
      <c r="E39" t="s">
        <v>601</v>
      </c>
      <c r="G39" t="s">
        <v>587</v>
      </c>
      <c r="H39">
        <v>63.49</v>
      </c>
      <c r="I39">
        <v>10.97</v>
      </c>
    </row>
    <row r="40" spans="5:9">
      <c r="E40" t="s">
        <v>602</v>
      </c>
      <c r="G40" t="s">
        <v>587</v>
      </c>
      <c r="H40">
        <v>63.72</v>
      </c>
      <c r="I40">
        <v>12.31</v>
      </c>
    </row>
    <row r="41" spans="5:9">
      <c r="E41" t="s">
        <v>603</v>
      </c>
      <c r="G41" t="s">
        <v>587</v>
      </c>
      <c r="H41">
        <v>63.67</v>
      </c>
      <c r="I41">
        <v>9.57</v>
      </c>
    </row>
    <row r="42" spans="5:9">
      <c r="E42" t="s">
        <v>604</v>
      </c>
      <c r="G42" t="s">
        <v>587</v>
      </c>
      <c r="H42">
        <v>63.67</v>
      </c>
      <c r="I42">
        <v>9.67</v>
      </c>
    </row>
    <row r="43" spans="5:9">
      <c r="E43" t="s">
        <v>605</v>
      </c>
      <c r="G43" t="s">
        <v>587</v>
      </c>
      <c r="H43">
        <v>63.73</v>
      </c>
      <c r="I43">
        <v>11.39</v>
      </c>
    </row>
    <row r="44" spans="5:9">
      <c r="E44" t="s">
        <v>606</v>
      </c>
      <c r="G44" t="s">
        <v>587</v>
      </c>
      <c r="H44">
        <v>63.72</v>
      </c>
      <c r="I44">
        <v>10.53</v>
      </c>
    </row>
    <row r="45" spans="5:9">
      <c r="E45" t="s">
        <v>607</v>
      </c>
      <c r="G45" t="s">
        <v>587</v>
      </c>
      <c r="H45">
        <v>63.72</v>
      </c>
      <c r="I45">
        <v>9.61</v>
      </c>
    </row>
    <row r="46" spans="5:9">
      <c r="E46" t="s">
        <v>608</v>
      </c>
      <c r="G46" t="s">
        <v>587</v>
      </c>
      <c r="H46">
        <v>63.74</v>
      </c>
      <c r="I46">
        <v>9.56</v>
      </c>
    </row>
    <row r="47" spans="5:9">
      <c r="E47" t="s">
        <v>609</v>
      </c>
      <c r="G47" t="s">
        <v>587</v>
      </c>
      <c r="H47">
        <v>63.74</v>
      </c>
      <c r="I47">
        <v>9.66</v>
      </c>
    </row>
    <row r="48" spans="5:9">
      <c r="E48" t="s">
        <v>610</v>
      </c>
      <c r="G48" t="s">
        <v>587</v>
      </c>
      <c r="H48">
        <v>63.72</v>
      </c>
      <c r="I48">
        <v>8.69</v>
      </c>
    </row>
    <row r="49" spans="5:9">
      <c r="E49" t="s">
        <v>611</v>
      </c>
      <c r="G49" t="s">
        <v>587</v>
      </c>
      <c r="H49">
        <v>63.78</v>
      </c>
      <c r="I49">
        <v>9.5500000000000007</v>
      </c>
    </row>
    <row r="50" spans="5:9">
      <c r="E50" t="s">
        <v>612</v>
      </c>
      <c r="G50" t="s">
        <v>587</v>
      </c>
      <c r="H50">
        <v>63.79</v>
      </c>
      <c r="I50">
        <v>9.6999999999999993</v>
      </c>
    </row>
    <row r="51" spans="5:9">
      <c r="E51" t="s">
        <v>613</v>
      </c>
      <c r="G51" t="s">
        <v>587</v>
      </c>
      <c r="H51">
        <v>63.73</v>
      </c>
      <c r="I51">
        <v>7.82</v>
      </c>
    </row>
    <row r="52" spans="5:9">
      <c r="E52" t="s">
        <v>614</v>
      </c>
      <c r="G52" t="s">
        <v>587</v>
      </c>
      <c r="H52">
        <v>63.83</v>
      </c>
      <c r="I52">
        <v>9.64</v>
      </c>
    </row>
    <row r="53" spans="5:9">
      <c r="E53" t="s">
        <v>615</v>
      </c>
      <c r="G53" t="s">
        <v>587</v>
      </c>
      <c r="H53">
        <v>63.8</v>
      </c>
      <c r="I53">
        <v>8.42</v>
      </c>
    </row>
    <row r="54" spans="5:9">
      <c r="E54" t="s">
        <v>616</v>
      </c>
      <c r="G54" t="s">
        <v>587</v>
      </c>
      <c r="H54">
        <v>63.81</v>
      </c>
      <c r="I54">
        <v>8.52</v>
      </c>
    </row>
    <row r="55" spans="5:9">
      <c r="E55" t="s">
        <v>617</v>
      </c>
      <c r="G55" t="s">
        <v>587</v>
      </c>
      <c r="H55">
        <v>63.85</v>
      </c>
      <c r="I55">
        <v>9.69</v>
      </c>
    </row>
    <row r="56" spans="5:9">
      <c r="E56" t="s">
        <v>618</v>
      </c>
      <c r="G56" t="s">
        <v>587</v>
      </c>
      <c r="H56">
        <v>63.87</v>
      </c>
      <c r="I56">
        <v>9.58</v>
      </c>
    </row>
    <row r="57" spans="5:9">
      <c r="E57" t="s">
        <v>619</v>
      </c>
      <c r="G57" t="s">
        <v>587</v>
      </c>
      <c r="H57">
        <v>63.85</v>
      </c>
      <c r="I57">
        <v>8.4600000000000009</v>
      </c>
    </row>
    <row r="58" spans="5:9">
      <c r="E58" t="s">
        <v>620</v>
      </c>
      <c r="G58" t="s">
        <v>587</v>
      </c>
      <c r="H58">
        <v>63.87</v>
      </c>
      <c r="I58">
        <v>8.51</v>
      </c>
    </row>
    <row r="59" spans="5:9">
      <c r="E59" t="s">
        <v>621</v>
      </c>
      <c r="G59" t="s">
        <v>587</v>
      </c>
      <c r="H59">
        <v>63.89</v>
      </c>
      <c r="I59">
        <v>8.4</v>
      </c>
    </row>
    <row r="60" spans="5:9">
      <c r="E60" t="s">
        <v>622</v>
      </c>
      <c r="G60" t="s">
        <v>587</v>
      </c>
      <c r="H60">
        <v>64.13</v>
      </c>
      <c r="I60">
        <v>9.33</v>
      </c>
    </row>
    <row r="61" spans="5:9">
      <c r="E61" t="s">
        <v>623</v>
      </c>
      <c r="G61" t="s">
        <v>587</v>
      </c>
      <c r="H61">
        <v>64.14</v>
      </c>
      <c r="I61">
        <v>9.48</v>
      </c>
    </row>
    <row r="62" spans="5:9">
      <c r="E62" t="s">
        <v>624</v>
      </c>
      <c r="G62" t="s">
        <v>587</v>
      </c>
      <c r="H62">
        <v>64.17</v>
      </c>
      <c r="I62">
        <v>10.35</v>
      </c>
    </row>
    <row r="63" spans="5:9">
      <c r="E63" t="s">
        <v>625</v>
      </c>
      <c r="G63" t="s">
        <v>587</v>
      </c>
      <c r="H63">
        <v>64.17</v>
      </c>
      <c r="I63">
        <v>10.41</v>
      </c>
    </row>
    <row r="64" spans="5:9">
      <c r="E64" t="s">
        <v>626</v>
      </c>
      <c r="G64" t="s">
        <v>587</v>
      </c>
      <c r="H64">
        <v>64.17</v>
      </c>
      <c r="I64">
        <v>10.46</v>
      </c>
    </row>
    <row r="65" spans="5:9">
      <c r="E65" t="s">
        <v>627</v>
      </c>
      <c r="G65" t="s">
        <v>587</v>
      </c>
      <c r="H65">
        <v>64.22</v>
      </c>
      <c r="I65">
        <v>12.31</v>
      </c>
    </row>
    <row r="66" spans="5:9">
      <c r="E66" t="s">
        <v>628</v>
      </c>
      <c r="G66" t="s">
        <v>587</v>
      </c>
      <c r="H66">
        <v>64.19</v>
      </c>
      <c r="I66">
        <v>10.3</v>
      </c>
    </row>
    <row r="67" spans="5:9">
      <c r="E67" t="s">
        <v>629</v>
      </c>
      <c r="G67" t="s">
        <v>587</v>
      </c>
      <c r="H67">
        <v>64.22</v>
      </c>
      <c r="I67">
        <v>11.43</v>
      </c>
    </row>
    <row r="68" spans="5:9">
      <c r="E68" t="s">
        <v>630</v>
      </c>
      <c r="G68" t="s">
        <v>587</v>
      </c>
      <c r="H68">
        <v>64.180000000000007</v>
      </c>
      <c r="I68">
        <v>9.42</v>
      </c>
    </row>
    <row r="69" spans="5:9">
      <c r="E69" t="s">
        <v>631</v>
      </c>
      <c r="G69" t="s">
        <v>587</v>
      </c>
      <c r="H69">
        <v>64.209999999999994</v>
      </c>
      <c r="I69">
        <v>10.35</v>
      </c>
    </row>
    <row r="70" spans="5:9">
      <c r="E70" t="s">
        <v>632</v>
      </c>
      <c r="G70" t="s">
        <v>587</v>
      </c>
      <c r="H70">
        <v>64.22</v>
      </c>
      <c r="I70">
        <v>10.4</v>
      </c>
    </row>
    <row r="71" spans="5:9">
      <c r="E71" t="s">
        <v>633</v>
      </c>
      <c r="G71" t="s">
        <v>587</v>
      </c>
      <c r="H71">
        <v>64.22</v>
      </c>
      <c r="I71">
        <v>10.5</v>
      </c>
    </row>
    <row r="72" spans="5:9">
      <c r="E72" t="s">
        <v>634</v>
      </c>
      <c r="G72" t="s">
        <v>587</v>
      </c>
      <c r="H72">
        <v>64.209999999999994</v>
      </c>
      <c r="I72">
        <v>9.4700000000000006</v>
      </c>
    </row>
    <row r="73" spans="5:9">
      <c r="E73" t="s">
        <v>635</v>
      </c>
      <c r="G73" t="s">
        <v>587</v>
      </c>
      <c r="H73">
        <v>64.22</v>
      </c>
      <c r="I73">
        <v>9.36</v>
      </c>
    </row>
    <row r="74" spans="5:9">
      <c r="E74" t="s">
        <v>636</v>
      </c>
      <c r="G74" t="s">
        <v>587</v>
      </c>
      <c r="H74">
        <v>64.23</v>
      </c>
      <c r="I74">
        <v>9.6199999999999992</v>
      </c>
    </row>
    <row r="75" spans="5:9">
      <c r="E75" t="s">
        <v>637</v>
      </c>
      <c r="G75" t="s">
        <v>587</v>
      </c>
      <c r="H75">
        <v>64.260000000000005</v>
      </c>
      <c r="I75">
        <v>10.29</v>
      </c>
    </row>
    <row r="76" spans="5:9">
      <c r="E76" t="s">
        <v>638</v>
      </c>
      <c r="G76" t="s">
        <v>587</v>
      </c>
      <c r="H76">
        <v>64.260000000000005</v>
      </c>
      <c r="I76">
        <v>10.34</v>
      </c>
    </row>
    <row r="77" spans="5:9">
      <c r="E77" t="s">
        <v>639</v>
      </c>
      <c r="G77" t="s">
        <v>587</v>
      </c>
      <c r="H77">
        <v>64.260000000000005</v>
      </c>
      <c r="I77">
        <v>10.44</v>
      </c>
    </row>
    <row r="78" spans="5:9">
      <c r="E78" t="s">
        <v>640</v>
      </c>
      <c r="G78" t="s">
        <v>587</v>
      </c>
      <c r="H78">
        <v>64.260000000000005</v>
      </c>
      <c r="I78">
        <v>10.49</v>
      </c>
    </row>
    <row r="79" spans="5:9">
      <c r="E79" t="s">
        <v>641</v>
      </c>
      <c r="G79" t="s">
        <v>587</v>
      </c>
      <c r="H79">
        <v>64.22</v>
      </c>
      <c r="I79">
        <v>8.69</v>
      </c>
    </row>
    <row r="80" spans="5:9">
      <c r="E80" t="s">
        <v>642</v>
      </c>
      <c r="G80" t="s">
        <v>587</v>
      </c>
      <c r="H80">
        <v>64.22</v>
      </c>
      <c r="I80">
        <v>7.8</v>
      </c>
    </row>
    <row r="81" spans="5:9">
      <c r="E81" t="s">
        <v>643</v>
      </c>
      <c r="G81" t="s">
        <v>587</v>
      </c>
      <c r="H81">
        <v>64.349999999999994</v>
      </c>
      <c r="I81">
        <v>10.38</v>
      </c>
    </row>
    <row r="82" spans="5:9">
      <c r="E82" t="s">
        <v>644</v>
      </c>
      <c r="G82" t="s">
        <v>587</v>
      </c>
      <c r="H82">
        <v>64.36</v>
      </c>
      <c r="I82">
        <v>10.53</v>
      </c>
    </row>
    <row r="83" spans="5:9">
      <c r="E83" t="s">
        <v>645</v>
      </c>
      <c r="G83" t="s">
        <v>587</v>
      </c>
      <c r="H83">
        <v>64.25</v>
      </c>
      <c r="I83">
        <v>6.96</v>
      </c>
    </row>
    <row r="84" spans="5:9">
      <c r="E84" t="s">
        <v>646</v>
      </c>
      <c r="G84" t="s">
        <v>587</v>
      </c>
      <c r="H84">
        <v>64.400000000000006</v>
      </c>
      <c r="I84">
        <v>10.47</v>
      </c>
    </row>
    <row r="85" spans="5:9">
      <c r="E85" t="s">
        <v>647</v>
      </c>
      <c r="G85" t="s">
        <v>587</v>
      </c>
      <c r="H85">
        <v>64.430000000000007</v>
      </c>
      <c r="I85">
        <v>11.51</v>
      </c>
    </row>
    <row r="86" spans="5:9">
      <c r="E86" t="s">
        <v>648</v>
      </c>
      <c r="G86" t="s">
        <v>587</v>
      </c>
      <c r="H86">
        <v>64.430000000000007</v>
      </c>
      <c r="I86">
        <v>11.61</v>
      </c>
    </row>
    <row r="87" spans="5:9">
      <c r="E87" t="s">
        <v>649</v>
      </c>
      <c r="G87" t="s">
        <v>587</v>
      </c>
      <c r="H87">
        <v>64.44</v>
      </c>
      <c r="I87">
        <v>10.41</v>
      </c>
    </row>
    <row r="88" spans="5:9">
      <c r="E88" t="s">
        <v>650</v>
      </c>
      <c r="G88" t="s">
        <v>587</v>
      </c>
      <c r="H88">
        <v>64.44</v>
      </c>
      <c r="I88">
        <v>10.52</v>
      </c>
    </row>
    <row r="89" spans="5:9">
      <c r="E89" t="s">
        <v>651</v>
      </c>
      <c r="G89" t="s">
        <v>587</v>
      </c>
      <c r="H89">
        <v>64.47</v>
      </c>
      <c r="I89">
        <v>11.56</v>
      </c>
    </row>
    <row r="90" spans="5:9">
      <c r="E90" t="s">
        <v>652</v>
      </c>
      <c r="G90" t="s">
        <v>587</v>
      </c>
      <c r="H90">
        <v>64.5</v>
      </c>
      <c r="I90">
        <v>11.61</v>
      </c>
    </row>
    <row r="91" spans="5:9">
      <c r="E91" t="s">
        <v>653</v>
      </c>
      <c r="G91" t="s">
        <v>587</v>
      </c>
      <c r="H91">
        <v>64.52</v>
      </c>
      <c r="I91">
        <v>11.5</v>
      </c>
    </row>
    <row r="92" spans="5:9">
      <c r="E92" t="s">
        <v>654</v>
      </c>
      <c r="G92" t="s">
        <v>587</v>
      </c>
      <c r="H92">
        <v>64.72</v>
      </c>
      <c r="I92">
        <v>11.42</v>
      </c>
    </row>
    <row r="93" spans="5:9">
      <c r="E93" t="s">
        <v>655</v>
      </c>
      <c r="G93" t="s">
        <v>587</v>
      </c>
      <c r="H93">
        <v>64.739999999999995</v>
      </c>
      <c r="I93">
        <v>12.32</v>
      </c>
    </row>
    <row r="94" spans="5:9">
      <c r="E94" t="s">
        <v>656</v>
      </c>
      <c r="G94" t="s">
        <v>587</v>
      </c>
      <c r="H94">
        <v>64.739999999999995</v>
      </c>
      <c r="I94">
        <v>10.52</v>
      </c>
    </row>
    <row r="95" spans="5:9">
      <c r="E95" t="s">
        <v>657</v>
      </c>
      <c r="G95" t="s">
        <v>587</v>
      </c>
      <c r="H95">
        <v>64.73</v>
      </c>
      <c r="I95">
        <v>9.6300000000000008</v>
      </c>
    </row>
    <row r="96" spans="5:9">
      <c r="E96" t="s">
        <v>658</v>
      </c>
      <c r="G96" t="s">
        <v>587</v>
      </c>
      <c r="H96">
        <v>64.760000000000005</v>
      </c>
      <c r="I96">
        <v>10.47</v>
      </c>
    </row>
    <row r="97" spans="5:9">
      <c r="E97" t="s">
        <v>659</v>
      </c>
      <c r="G97" t="s">
        <v>587</v>
      </c>
      <c r="H97">
        <v>64.760000000000005</v>
      </c>
      <c r="I97">
        <v>10.62</v>
      </c>
    </row>
    <row r="98" spans="5:9">
      <c r="E98" t="s">
        <v>660</v>
      </c>
      <c r="G98" t="s">
        <v>587</v>
      </c>
      <c r="H98">
        <v>64.8</v>
      </c>
      <c r="I98">
        <v>11.09</v>
      </c>
    </row>
    <row r="99" spans="5:9">
      <c r="E99" t="s">
        <v>661</v>
      </c>
      <c r="G99" t="s">
        <v>587</v>
      </c>
      <c r="H99">
        <v>64.8</v>
      </c>
      <c r="I99">
        <v>11.2</v>
      </c>
    </row>
    <row r="100" spans="5:9">
      <c r="E100" t="s">
        <v>662</v>
      </c>
      <c r="G100" t="s">
        <v>587</v>
      </c>
      <c r="H100">
        <v>64.739999999999995</v>
      </c>
      <c r="I100">
        <v>8.7200000000000006</v>
      </c>
    </row>
    <row r="101" spans="5:9">
      <c r="E101" t="s">
        <v>663</v>
      </c>
      <c r="G101" t="s">
        <v>587</v>
      </c>
      <c r="H101">
        <v>64.81</v>
      </c>
      <c r="I101">
        <v>10.56</v>
      </c>
    </row>
    <row r="102" spans="5:9">
      <c r="E102" t="s">
        <v>664</v>
      </c>
      <c r="G102" t="s">
        <v>587</v>
      </c>
      <c r="H102">
        <v>64.819999999999993</v>
      </c>
      <c r="I102">
        <v>11.14</v>
      </c>
    </row>
    <row r="103" spans="5:9">
      <c r="E103" t="s">
        <v>665</v>
      </c>
      <c r="G103" t="s">
        <v>587</v>
      </c>
      <c r="H103">
        <v>64.72</v>
      </c>
      <c r="I103">
        <v>7.83</v>
      </c>
    </row>
    <row r="104" spans="5:9">
      <c r="E104" t="s">
        <v>666</v>
      </c>
      <c r="G104" t="s">
        <v>587</v>
      </c>
      <c r="H104">
        <v>64.83</v>
      </c>
      <c r="I104">
        <v>10.61</v>
      </c>
    </row>
    <row r="105" spans="5:9">
      <c r="E105" t="s">
        <v>667</v>
      </c>
      <c r="G105" t="s">
        <v>587</v>
      </c>
      <c r="H105">
        <v>64.849999999999994</v>
      </c>
      <c r="I105">
        <v>10.5</v>
      </c>
    </row>
    <row r="106" spans="5:9">
      <c r="E106" t="s">
        <v>668</v>
      </c>
      <c r="G106" t="s">
        <v>587</v>
      </c>
      <c r="H106">
        <v>64.86</v>
      </c>
      <c r="I106">
        <v>10.82</v>
      </c>
    </row>
    <row r="107" spans="5:9">
      <c r="E107" t="s">
        <v>669</v>
      </c>
      <c r="G107" t="s">
        <v>587</v>
      </c>
      <c r="H107">
        <v>64.86</v>
      </c>
      <c r="I107">
        <v>10.93</v>
      </c>
    </row>
    <row r="108" spans="5:9">
      <c r="E108" t="s">
        <v>670</v>
      </c>
      <c r="G108" t="s">
        <v>587</v>
      </c>
      <c r="H108">
        <v>64.87</v>
      </c>
      <c r="I108">
        <v>11.08</v>
      </c>
    </row>
    <row r="109" spans="5:9">
      <c r="E109" t="s">
        <v>671</v>
      </c>
      <c r="G109" t="s">
        <v>587</v>
      </c>
      <c r="H109">
        <v>64.87</v>
      </c>
      <c r="I109">
        <v>11.19</v>
      </c>
    </row>
    <row r="110" spans="5:9">
      <c r="E110" t="s">
        <v>672</v>
      </c>
      <c r="G110" t="s">
        <v>587</v>
      </c>
      <c r="H110">
        <v>64.72</v>
      </c>
      <c r="I110">
        <v>6.93</v>
      </c>
    </row>
    <row r="111" spans="5:9">
      <c r="E111" t="s">
        <v>673</v>
      </c>
      <c r="G111" t="s">
        <v>587</v>
      </c>
      <c r="H111">
        <v>64.91</v>
      </c>
      <c r="I111">
        <v>10.87</v>
      </c>
    </row>
    <row r="112" spans="5:9">
      <c r="E112" t="s">
        <v>674</v>
      </c>
      <c r="G112" t="s">
        <v>587</v>
      </c>
      <c r="H112">
        <v>64.95</v>
      </c>
      <c r="I112">
        <v>10.81</v>
      </c>
    </row>
    <row r="113" spans="5:9">
      <c r="E113" t="s">
        <v>675</v>
      </c>
      <c r="G113" t="s">
        <v>587</v>
      </c>
      <c r="H113">
        <v>64.95</v>
      </c>
      <c r="I113">
        <v>10.96</v>
      </c>
    </row>
    <row r="114" spans="5:9">
      <c r="E114" t="s">
        <v>676</v>
      </c>
      <c r="G114" t="s">
        <v>587</v>
      </c>
      <c r="H114">
        <v>65.150000000000006</v>
      </c>
      <c r="I114">
        <v>10.93</v>
      </c>
    </row>
    <row r="115" spans="5:9">
      <c r="E115" t="s">
        <v>677</v>
      </c>
      <c r="G115" t="s">
        <v>587</v>
      </c>
      <c r="H115">
        <v>65.16</v>
      </c>
      <c r="I115">
        <v>11.04</v>
      </c>
    </row>
    <row r="116" spans="5:9">
      <c r="E116" t="s">
        <v>678</v>
      </c>
      <c r="G116" t="s">
        <v>587</v>
      </c>
      <c r="H116">
        <v>65.180000000000007</v>
      </c>
      <c r="I116">
        <v>11.95</v>
      </c>
    </row>
    <row r="117" spans="5:9">
      <c r="E117" t="s">
        <v>679</v>
      </c>
      <c r="G117" t="s">
        <v>587</v>
      </c>
      <c r="H117">
        <v>65.180000000000007</v>
      </c>
      <c r="I117">
        <v>12.06</v>
      </c>
    </row>
    <row r="118" spans="5:9">
      <c r="E118" t="s">
        <v>680</v>
      </c>
      <c r="G118" t="s">
        <v>587</v>
      </c>
      <c r="H118">
        <v>65.2</v>
      </c>
      <c r="I118">
        <v>10.98</v>
      </c>
    </row>
    <row r="119" spans="5:9">
      <c r="E119" t="s">
        <v>681</v>
      </c>
      <c r="G119" t="s">
        <v>587</v>
      </c>
      <c r="H119">
        <v>65.22</v>
      </c>
      <c r="I119">
        <v>12</v>
      </c>
    </row>
    <row r="120" spans="5:9">
      <c r="E120" t="s">
        <v>682</v>
      </c>
      <c r="G120" t="s">
        <v>587</v>
      </c>
      <c r="H120">
        <v>65.23</v>
      </c>
      <c r="I120">
        <v>12.32</v>
      </c>
    </row>
    <row r="121" spans="5:9">
      <c r="E121" t="s">
        <v>683</v>
      </c>
      <c r="G121" t="s">
        <v>587</v>
      </c>
      <c r="H121">
        <v>65.23</v>
      </c>
      <c r="I121">
        <v>11.41</v>
      </c>
    </row>
    <row r="122" spans="5:9">
      <c r="E122" t="s">
        <v>684</v>
      </c>
      <c r="G122" t="s">
        <v>587</v>
      </c>
      <c r="H122">
        <v>65.23</v>
      </c>
      <c r="I122">
        <v>10.49</v>
      </c>
    </row>
    <row r="123" spans="5:9">
      <c r="E123" t="s">
        <v>685</v>
      </c>
      <c r="G123" t="s">
        <v>587</v>
      </c>
      <c r="H123">
        <v>65.239999999999995</v>
      </c>
      <c r="I123">
        <v>10.92</v>
      </c>
    </row>
    <row r="124" spans="5:9">
      <c r="E124" t="s">
        <v>686</v>
      </c>
      <c r="G124" t="s">
        <v>587</v>
      </c>
      <c r="H124">
        <v>65.25</v>
      </c>
      <c r="I124">
        <v>11.08</v>
      </c>
    </row>
    <row r="125" spans="5:9">
      <c r="E125" t="s">
        <v>687</v>
      </c>
      <c r="G125" t="s">
        <v>587</v>
      </c>
      <c r="H125">
        <v>65.27</v>
      </c>
      <c r="I125">
        <v>11.94</v>
      </c>
    </row>
    <row r="126" spans="5:9">
      <c r="E126" t="s">
        <v>688</v>
      </c>
      <c r="G126" t="s">
        <v>587</v>
      </c>
      <c r="H126">
        <v>65.27</v>
      </c>
      <c r="I126">
        <v>12.05</v>
      </c>
    </row>
    <row r="127" spans="5:9">
      <c r="E127" t="s">
        <v>689</v>
      </c>
      <c r="G127" t="s">
        <v>587</v>
      </c>
      <c r="H127">
        <v>65.23</v>
      </c>
      <c r="I127">
        <v>9.6300000000000008</v>
      </c>
    </row>
    <row r="128" spans="5:9">
      <c r="E128" t="s">
        <v>690</v>
      </c>
      <c r="G128" t="s">
        <v>587</v>
      </c>
      <c r="H128">
        <v>65.22</v>
      </c>
      <c r="I128">
        <v>8.7200000000000006</v>
      </c>
    </row>
    <row r="129" spans="5:9">
      <c r="E129" t="s">
        <v>691</v>
      </c>
      <c r="G129" t="s">
        <v>587</v>
      </c>
      <c r="H129">
        <v>65.22</v>
      </c>
      <c r="I129">
        <v>7.8</v>
      </c>
    </row>
    <row r="130" spans="5:9">
      <c r="E130" t="s">
        <v>692</v>
      </c>
      <c r="G130" t="s">
        <v>587</v>
      </c>
      <c r="H130">
        <v>65.22</v>
      </c>
      <c r="I130">
        <v>6.89</v>
      </c>
    </row>
    <row r="131" spans="5:9">
      <c r="E131" t="s">
        <v>693</v>
      </c>
      <c r="G131" t="s">
        <v>587</v>
      </c>
      <c r="H131">
        <v>65.41</v>
      </c>
      <c r="I131">
        <v>12.14</v>
      </c>
    </row>
    <row r="132" spans="5:9">
      <c r="E132" t="s">
        <v>694</v>
      </c>
      <c r="G132" t="s">
        <v>587</v>
      </c>
      <c r="H132">
        <v>65.41</v>
      </c>
      <c r="I132">
        <v>12.3</v>
      </c>
    </row>
    <row r="133" spans="5:9">
      <c r="E133" t="s">
        <v>695</v>
      </c>
      <c r="G133" t="s">
        <v>587</v>
      </c>
      <c r="H133">
        <v>65.45</v>
      </c>
      <c r="I133">
        <v>12.24</v>
      </c>
    </row>
    <row r="134" spans="5:9">
      <c r="E134" t="s">
        <v>696</v>
      </c>
      <c r="G134" t="s">
        <v>587</v>
      </c>
      <c r="H134">
        <v>65.5</v>
      </c>
      <c r="I134">
        <v>12.18</v>
      </c>
    </row>
    <row r="135" spans="5:9">
      <c r="E135" t="s">
        <v>697</v>
      </c>
      <c r="G135" t="s">
        <v>587</v>
      </c>
      <c r="H135">
        <v>65.5</v>
      </c>
      <c r="I135">
        <v>12.29</v>
      </c>
    </row>
    <row r="136" spans="5:9">
      <c r="E136" t="s">
        <v>698</v>
      </c>
      <c r="G136" t="s">
        <v>587</v>
      </c>
      <c r="H136">
        <v>65.650000000000006</v>
      </c>
      <c r="I136">
        <v>11.79</v>
      </c>
    </row>
    <row r="137" spans="5:9">
      <c r="E137" t="s">
        <v>699</v>
      </c>
      <c r="G137" t="s">
        <v>587</v>
      </c>
      <c r="H137">
        <v>65.650000000000006</v>
      </c>
      <c r="I137">
        <v>11.9</v>
      </c>
    </row>
    <row r="138" spans="5:9">
      <c r="E138" t="s">
        <v>700</v>
      </c>
      <c r="G138" t="s">
        <v>587</v>
      </c>
      <c r="H138">
        <v>65.69</v>
      </c>
      <c r="I138">
        <v>11.84</v>
      </c>
    </row>
    <row r="139" spans="5:9">
      <c r="E139" t="s">
        <v>701</v>
      </c>
      <c r="G139" t="s">
        <v>587</v>
      </c>
      <c r="H139">
        <v>65.58</v>
      </c>
      <c r="I139">
        <v>7.81</v>
      </c>
    </row>
    <row r="140" spans="5:9">
      <c r="E140" t="s">
        <v>702</v>
      </c>
      <c r="G140" t="s">
        <v>587</v>
      </c>
      <c r="H140">
        <v>65.62</v>
      </c>
      <c r="I140">
        <v>8.73</v>
      </c>
    </row>
    <row r="141" spans="5:9">
      <c r="E141" t="s">
        <v>703</v>
      </c>
      <c r="G141" t="s">
        <v>587</v>
      </c>
      <c r="H141">
        <v>65.650000000000006</v>
      </c>
      <c r="I141">
        <v>9.6</v>
      </c>
    </row>
    <row r="142" spans="5:9">
      <c r="E142" t="s">
        <v>704</v>
      </c>
      <c r="G142" t="s">
        <v>587</v>
      </c>
      <c r="H142">
        <v>65.680000000000007</v>
      </c>
      <c r="I142">
        <v>10.53</v>
      </c>
    </row>
    <row r="143" spans="5:9">
      <c r="E143" t="s">
        <v>705</v>
      </c>
      <c r="G143" t="s">
        <v>587</v>
      </c>
      <c r="H143">
        <v>65.709999999999994</v>
      </c>
      <c r="I143">
        <v>11.4</v>
      </c>
    </row>
    <row r="144" spans="5:9">
      <c r="E144" t="s">
        <v>706</v>
      </c>
      <c r="G144" t="s">
        <v>587</v>
      </c>
      <c r="H144">
        <v>65.709999999999994</v>
      </c>
      <c r="I144">
        <v>11.78</v>
      </c>
    </row>
    <row r="145" spans="5:9">
      <c r="E145" t="s">
        <v>707</v>
      </c>
      <c r="G145" t="s">
        <v>587</v>
      </c>
      <c r="H145">
        <v>65.72</v>
      </c>
      <c r="I145">
        <v>11.94</v>
      </c>
    </row>
    <row r="146" spans="5:9">
      <c r="E146" t="s">
        <v>708</v>
      </c>
      <c r="G146" t="s">
        <v>587</v>
      </c>
      <c r="H146">
        <v>65.73</v>
      </c>
      <c r="I146">
        <v>12.32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Navngitte områder</vt:lpstr>
      </vt:variant>
      <vt:variant>
        <vt:i4>3</vt:i4>
      </vt:variant>
    </vt:vector>
  </HeadingPairs>
  <TitlesOfParts>
    <vt:vector size="8" baseType="lpstr">
      <vt:lpstr>Table datapoints</vt:lpstr>
      <vt:lpstr>WindFarm Data</vt:lpstr>
      <vt:lpstr>PriceAndProductionData</vt:lpstr>
      <vt:lpstr>Measured data</vt:lpstr>
      <vt:lpstr>coordinates arome</vt:lpstr>
      <vt:lpstr>LNS</vt:lpstr>
      <vt:lpstr>LWE</vt:lpstr>
      <vt:lpstr>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Frode Vassenden</dc:creator>
  <cp:lastModifiedBy>Frode Vassenden</cp:lastModifiedBy>
  <dcterms:created xsi:type="dcterms:W3CDTF">2016-01-19T10:56:27Z</dcterms:created>
  <dcterms:modified xsi:type="dcterms:W3CDTF">2017-12-18T09:30:12Z</dcterms:modified>
</cp:coreProperties>
</file>